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arito/github/intro-swift/outputs/utanet-rank-review-2026-10-13/"/>
    </mc:Choice>
  </mc:AlternateContent>
  <xr:revisionPtr revIDLastSave="0" documentId="13_ncr:1_{F8291E13-963D-4945-8311-4B624DB0DF27}" xr6:coauthVersionLast="47" xr6:coauthVersionMax="47" xr10:uidLastSave="{00000000-0000-0000-0000-000000000000}"/>
  <bookViews>
    <workbookView xWindow="0" yWindow="600" windowWidth="51200" windowHeight="26320" xr2:uid="{00000000-000D-0000-FFFF-FFFF00000000}"/>
  </bookViews>
  <sheets>
    <sheet name="除外曲" sheetId="1" r:id="rId1"/>
    <sheet name="ランキング1000曲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06" i="2" l="1"/>
  <c r="E1006" i="2"/>
  <c r="G461" i="1" s="1"/>
  <c r="F1005" i="2"/>
  <c r="E1005" i="2"/>
  <c r="F1004" i="2"/>
  <c r="E1004" i="2"/>
  <c r="F1003" i="2"/>
  <c r="E1003" i="2"/>
  <c r="G458" i="1" s="1"/>
  <c r="F1002" i="2"/>
  <c r="E1002" i="2"/>
  <c r="F1001" i="2"/>
  <c r="E1001" i="2"/>
  <c r="F1000" i="2"/>
  <c r="E1000" i="2"/>
  <c r="F999" i="2"/>
  <c r="E999" i="2"/>
  <c r="F998" i="2"/>
  <c r="E998" i="2"/>
  <c r="G456" i="1" s="1"/>
  <c r="F997" i="2"/>
  <c r="E997" i="2"/>
  <c r="F996" i="2"/>
  <c r="E996" i="2"/>
  <c r="F995" i="2"/>
  <c r="E995" i="2"/>
  <c r="F994" i="2"/>
  <c r="E994" i="2"/>
  <c r="F993" i="2"/>
  <c r="E993" i="2"/>
  <c r="F992" i="2"/>
  <c r="E992" i="2"/>
  <c r="F991" i="2"/>
  <c r="E991" i="2"/>
  <c r="F990" i="2"/>
  <c r="E990" i="2"/>
  <c r="F989" i="2"/>
  <c r="E989" i="2"/>
  <c r="F988" i="2"/>
  <c r="E988" i="2"/>
  <c r="G452" i="1" s="1"/>
  <c r="F987" i="2"/>
  <c r="E987" i="2"/>
  <c r="F986" i="2"/>
  <c r="E986" i="2"/>
  <c r="F985" i="2"/>
  <c r="E985" i="2"/>
  <c r="F984" i="2"/>
  <c r="E984" i="2"/>
  <c r="F983" i="2"/>
  <c r="E983" i="2"/>
  <c r="F982" i="2"/>
  <c r="E982" i="2"/>
  <c r="F981" i="2"/>
  <c r="E981" i="2"/>
  <c r="F980" i="2"/>
  <c r="E980" i="2"/>
  <c r="F979" i="2"/>
  <c r="E979" i="2"/>
  <c r="F978" i="2"/>
  <c r="E978" i="2"/>
  <c r="F977" i="2"/>
  <c r="E977" i="2"/>
  <c r="F976" i="2"/>
  <c r="E976" i="2"/>
  <c r="G448" i="1" s="1"/>
  <c r="F975" i="2"/>
  <c r="E975" i="2"/>
  <c r="F974" i="2"/>
  <c r="E974" i="2"/>
  <c r="F973" i="2"/>
  <c r="E973" i="2"/>
  <c r="G446" i="1" s="1"/>
  <c r="F972" i="2"/>
  <c r="E972" i="2"/>
  <c r="F971" i="2"/>
  <c r="E971" i="2"/>
  <c r="F970" i="2"/>
  <c r="E970" i="2"/>
  <c r="F969" i="2"/>
  <c r="E969" i="2"/>
  <c r="F968" i="2"/>
  <c r="E968" i="2"/>
  <c r="G442" i="1" s="1"/>
  <c r="F967" i="2"/>
  <c r="E967" i="2"/>
  <c r="F966" i="2"/>
  <c r="E966" i="2"/>
  <c r="F965" i="2"/>
  <c r="E965" i="2"/>
  <c r="F964" i="2"/>
  <c r="E964" i="2"/>
  <c r="F963" i="2"/>
  <c r="E963" i="2"/>
  <c r="F962" i="2"/>
  <c r="E962" i="2"/>
  <c r="F961" i="2"/>
  <c r="E961" i="2"/>
  <c r="G438" i="1" s="1"/>
  <c r="F960" i="2"/>
  <c r="E960" i="2"/>
  <c r="F959" i="2"/>
  <c r="E959" i="2"/>
  <c r="F958" i="2"/>
  <c r="E958" i="2"/>
  <c r="G436" i="1" s="1"/>
  <c r="F957" i="2"/>
  <c r="E957" i="2"/>
  <c r="F956" i="2"/>
  <c r="E956" i="2"/>
  <c r="F955" i="2"/>
  <c r="E955" i="2"/>
  <c r="F954" i="2"/>
  <c r="E954" i="2"/>
  <c r="F953" i="2"/>
  <c r="E953" i="2"/>
  <c r="F952" i="2"/>
  <c r="E952" i="2"/>
  <c r="F951" i="2"/>
  <c r="E951" i="2"/>
  <c r="F950" i="2"/>
  <c r="E950" i="2"/>
  <c r="F949" i="2"/>
  <c r="E949" i="2"/>
  <c r="F948" i="2"/>
  <c r="E948" i="2"/>
  <c r="F947" i="2"/>
  <c r="E947" i="2"/>
  <c r="F946" i="2"/>
  <c r="E946" i="2"/>
  <c r="F945" i="2"/>
  <c r="E945" i="2"/>
  <c r="F944" i="2"/>
  <c r="E944" i="2"/>
  <c r="F943" i="2"/>
  <c r="E943" i="2"/>
  <c r="G427" i="1" s="1"/>
  <c r="F942" i="2"/>
  <c r="E942" i="2"/>
  <c r="F941" i="2"/>
  <c r="E941" i="2"/>
  <c r="F940" i="2"/>
  <c r="E940" i="2"/>
  <c r="F939" i="2"/>
  <c r="E939" i="2"/>
  <c r="F938" i="2"/>
  <c r="E938" i="2"/>
  <c r="F937" i="2"/>
  <c r="E937" i="2"/>
  <c r="F936" i="2"/>
  <c r="E936" i="2"/>
  <c r="F935" i="2"/>
  <c r="E935" i="2"/>
  <c r="F934" i="2"/>
  <c r="E934" i="2"/>
  <c r="F933" i="2"/>
  <c r="E933" i="2"/>
  <c r="F932" i="2"/>
  <c r="E932" i="2"/>
  <c r="F931" i="2"/>
  <c r="E931" i="2"/>
  <c r="F930" i="2"/>
  <c r="E930" i="2"/>
  <c r="F929" i="2"/>
  <c r="E929" i="2"/>
  <c r="F928" i="2"/>
  <c r="E928" i="2"/>
  <c r="G422" i="1" s="1"/>
  <c r="F927" i="2"/>
  <c r="E927" i="2"/>
  <c r="F926" i="2"/>
  <c r="E926" i="2"/>
  <c r="F925" i="2"/>
  <c r="E925" i="2"/>
  <c r="F924" i="2"/>
  <c r="E924" i="2"/>
  <c r="F923" i="2"/>
  <c r="E923" i="2"/>
  <c r="G418" i="1" s="1"/>
  <c r="F922" i="2"/>
  <c r="E922" i="2"/>
  <c r="F921" i="2"/>
  <c r="E921" i="2"/>
  <c r="F920" i="2"/>
  <c r="E920" i="2"/>
  <c r="F919" i="2"/>
  <c r="E919" i="2"/>
  <c r="F918" i="2"/>
  <c r="E918" i="2"/>
  <c r="F917" i="2"/>
  <c r="E917" i="2"/>
  <c r="F916" i="2"/>
  <c r="E916" i="2"/>
  <c r="F915" i="2"/>
  <c r="E915" i="2"/>
  <c r="F914" i="2"/>
  <c r="E914" i="2"/>
  <c r="F913" i="2"/>
  <c r="E913" i="2"/>
  <c r="F912" i="2"/>
  <c r="E912" i="2"/>
  <c r="F911" i="2"/>
  <c r="E911" i="2"/>
  <c r="F910" i="2"/>
  <c r="E910" i="2"/>
  <c r="F909" i="2"/>
  <c r="E909" i="2"/>
  <c r="F908" i="2"/>
  <c r="E908" i="2"/>
  <c r="G411" i="1" s="1"/>
  <c r="F907" i="2"/>
  <c r="E907" i="2"/>
  <c r="F906" i="2"/>
  <c r="E906" i="2"/>
  <c r="F905" i="2"/>
  <c r="E905" i="2"/>
  <c r="F904" i="2"/>
  <c r="E904" i="2"/>
  <c r="F903" i="2"/>
  <c r="E903" i="2"/>
  <c r="F902" i="2"/>
  <c r="E902" i="2"/>
  <c r="F901" i="2"/>
  <c r="E901" i="2"/>
  <c r="F900" i="2"/>
  <c r="E900" i="2"/>
  <c r="F899" i="2"/>
  <c r="E899" i="2"/>
  <c r="F898" i="2"/>
  <c r="E898" i="2"/>
  <c r="G405" i="1" s="1"/>
  <c r="F897" i="2"/>
  <c r="E897" i="2"/>
  <c r="F896" i="2"/>
  <c r="E896" i="2"/>
  <c r="F895" i="2"/>
  <c r="E895" i="2"/>
  <c r="F894" i="2"/>
  <c r="E894" i="2"/>
  <c r="F893" i="2"/>
  <c r="E893" i="2"/>
  <c r="F892" i="2"/>
  <c r="E892" i="2"/>
  <c r="F891" i="2"/>
  <c r="E891" i="2"/>
  <c r="G403" i="1" s="1"/>
  <c r="F890" i="2"/>
  <c r="E890" i="2"/>
  <c r="F889" i="2"/>
  <c r="E889" i="2"/>
  <c r="F888" i="2"/>
  <c r="E888" i="2"/>
  <c r="G402" i="1" s="1"/>
  <c r="F887" i="2"/>
  <c r="E887" i="2"/>
  <c r="F886" i="2"/>
  <c r="E886" i="2"/>
  <c r="F885" i="2"/>
  <c r="E885" i="2"/>
  <c r="F884" i="2"/>
  <c r="E884" i="2"/>
  <c r="F883" i="2"/>
  <c r="E883" i="2"/>
  <c r="F882" i="2"/>
  <c r="E882" i="2"/>
  <c r="F881" i="2"/>
  <c r="E881" i="2"/>
  <c r="F880" i="2"/>
  <c r="E880" i="2"/>
  <c r="F879" i="2"/>
  <c r="E879" i="2"/>
  <c r="F878" i="2"/>
  <c r="E878" i="2"/>
  <c r="G397" i="1" s="1"/>
  <c r="F877" i="2"/>
  <c r="E877" i="2"/>
  <c r="F876" i="2"/>
  <c r="E876" i="2"/>
  <c r="F875" i="2"/>
  <c r="E875" i="2"/>
  <c r="F874" i="2"/>
  <c r="E874" i="2"/>
  <c r="F873" i="2"/>
  <c r="E873" i="2"/>
  <c r="F872" i="2"/>
  <c r="E872" i="2"/>
  <c r="F871" i="2"/>
  <c r="E871" i="2"/>
  <c r="F870" i="2"/>
  <c r="E870" i="2"/>
  <c r="F869" i="2"/>
  <c r="E869" i="2"/>
  <c r="F868" i="2"/>
  <c r="E868" i="2"/>
  <c r="G392" i="1" s="1"/>
  <c r="F867" i="2"/>
  <c r="E867" i="2"/>
  <c r="F866" i="2"/>
  <c r="E866" i="2"/>
  <c r="F865" i="2"/>
  <c r="E865" i="2"/>
  <c r="F864" i="2"/>
  <c r="E864" i="2"/>
  <c r="F863" i="2"/>
  <c r="E863" i="2"/>
  <c r="F862" i="2"/>
  <c r="E862" i="2"/>
  <c r="F861" i="2"/>
  <c r="E861" i="2"/>
  <c r="F860" i="2"/>
  <c r="E860" i="2"/>
  <c r="F859" i="2"/>
  <c r="E859" i="2"/>
  <c r="F858" i="2"/>
  <c r="E858" i="2"/>
  <c r="G387" i="1" s="1"/>
  <c r="F857" i="2"/>
  <c r="E857" i="2"/>
  <c r="F856" i="2"/>
  <c r="E856" i="2"/>
  <c r="F855" i="2"/>
  <c r="E855" i="2"/>
  <c r="F854" i="2"/>
  <c r="E854" i="2"/>
  <c r="F853" i="2"/>
  <c r="E853" i="2"/>
  <c r="F852" i="2"/>
  <c r="E852" i="2"/>
  <c r="F851" i="2"/>
  <c r="E851" i="2"/>
  <c r="F850" i="2"/>
  <c r="E850" i="2"/>
  <c r="F849" i="2"/>
  <c r="E849" i="2"/>
  <c r="F848" i="2"/>
  <c r="E848" i="2"/>
  <c r="F847" i="2"/>
  <c r="E847" i="2"/>
  <c r="F846" i="2"/>
  <c r="E846" i="2"/>
  <c r="F845" i="2"/>
  <c r="E845" i="2"/>
  <c r="F844" i="2"/>
  <c r="E844" i="2"/>
  <c r="F843" i="2"/>
  <c r="E843" i="2"/>
  <c r="G382" i="1" s="1"/>
  <c r="F842" i="2"/>
  <c r="E842" i="2"/>
  <c r="F841" i="2"/>
  <c r="E841" i="2"/>
  <c r="F840" i="2"/>
  <c r="E840" i="2"/>
  <c r="F839" i="2"/>
  <c r="E839" i="2"/>
  <c r="F838" i="2"/>
  <c r="E838" i="2"/>
  <c r="F837" i="2"/>
  <c r="E837" i="2"/>
  <c r="F836" i="2"/>
  <c r="E836" i="2"/>
  <c r="G378" i="1" s="1"/>
  <c r="F835" i="2"/>
  <c r="E835" i="2"/>
  <c r="F834" i="2"/>
  <c r="E834" i="2"/>
  <c r="F833" i="2"/>
  <c r="E833" i="2"/>
  <c r="G376" i="1" s="1"/>
  <c r="F832" i="2"/>
  <c r="E832" i="2"/>
  <c r="F831" i="2"/>
  <c r="E831" i="2"/>
  <c r="F830" i="2"/>
  <c r="E830" i="2"/>
  <c r="F829" i="2"/>
  <c r="E829" i="2"/>
  <c r="F828" i="2"/>
  <c r="E828" i="2"/>
  <c r="F827" i="2"/>
  <c r="E827" i="2"/>
  <c r="F826" i="2"/>
  <c r="E826" i="2"/>
  <c r="F825" i="2"/>
  <c r="E825" i="2"/>
  <c r="F824" i="2"/>
  <c r="E824" i="2"/>
  <c r="F823" i="2"/>
  <c r="E823" i="2"/>
  <c r="G371" i="1" s="1"/>
  <c r="F822" i="2"/>
  <c r="E822" i="2"/>
  <c r="F821" i="2"/>
  <c r="E821" i="2"/>
  <c r="F820" i="2"/>
  <c r="E820" i="2"/>
  <c r="F819" i="2"/>
  <c r="E819" i="2"/>
  <c r="F818" i="2"/>
  <c r="E818" i="2"/>
  <c r="F817" i="2"/>
  <c r="E817" i="2"/>
  <c r="F816" i="2"/>
  <c r="E816" i="2"/>
  <c r="F815" i="2"/>
  <c r="E815" i="2"/>
  <c r="F814" i="2"/>
  <c r="E814" i="2"/>
  <c r="F813" i="2"/>
  <c r="E813" i="2"/>
  <c r="F812" i="2"/>
  <c r="E812" i="2"/>
  <c r="F811" i="2"/>
  <c r="E811" i="2"/>
  <c r="F810" i="2"/>
  <c r="E810" i="2"/>
  <c r="F809" i="2"/>
  <c r="E809" i="2"/>
  <c r="F808" i="2"/>
  <c r="E808" i="2"/>
  <c r="F807" i="2"/>
  <c r="E807" i="2"/>
  <c r="F806" i="2"/>
  <c r="E806" i="2"/>
  <c r="F805" i="2"/>
  <c r="E805" i="2"/>
  <c r="F804" i="2"/>
  <c r="E804" i="2"/>
  <c r="F803" i="2"/>
  <c r="E803" i="2"/>
  <c r="F802" i="2"/>
  <c r="E802" i="2"/>
  <c r="F801" i="2"/>
  <c r="E801" i="2"/>
  <c r="F800" i="2"/>
  <c r="E800" i="2"/>
  <c r="F799" i="2"/>
  <c r="E799" i="2"/>
  <c r="F798" i="2"/>
  <c r="E798" i="2"/>
  <c r="F797" i="2"/>
  <c r="E797" i="2"/>
  <c r="F796" i="2"/>
  <c r="E796" i="2"/>
  <c r="F795" i="2"/>
  <c r="E795" i="2"/>
  <c r="F794" i="2"/>
  <c r="E794" i="2"/>
  <c r="F793" i="2"/>
  <c r="E793" i="2"/>
  <c r="G360" i="1" s="1"/>
  <c r="F792" i="2"/>
  <c r="E792" i="2"/>
  <c r="F791" i="2"/>
  <c r="E791" i="2"/>
  <c r="F790" i="2"/>
  <c r="E790" i="2"/>
  <c r="F789" i="2"/>
  <c r="E789" i="2"/>
  <c r="F788" i="2"/>
  <c r="E788" i="2"/>
  <c r="F787" i="2"/>
  <c r="E787" i="2"/>
  <c r="F786" i="2"/>
  <c r="E786" i="2"/>
  <c r="F785" i="2"/>
  <c r="E785" i="2"/>
  <c r="F784" i="2"/>
  <c r="E784" i="2"/>
  <c r="F783" i="2"/>
  <c r="E783" i="2"/>
  <c r="G356" i="1" s="1"/>
  <c r="F782" i="2"/>
  <c r="E782" i="2"/>
  <c r="F781" i="2"/>
  <c r="E781" i="2"/>
  <c r="F780" i="2"/>
  <c r="E780" i="2"/>
  <c r="F779" i="2"/>
  <c r="E779" i="2"/>
  <c r="F778" i="2"/>
  <c r="E778" i="2"/>
  <c r="F777" i="2"/>
  <c r="E777" i="2"/>
  <c r="F776" i="2"/>
  <c r="E776" i="2"/>
  <c r="G353" i="1" s="1"/>
  <c r="F775" i="2"/>
  <c r="E775" i="2"/>
  <c r="F774" i="2"/>
  <c r="E774" i="2"/>
  <c r="F773" i="2"/>
  <c r="E773" i="2"/>
  <c r="G350" i="1" s="1"/>
  <c r="F772" i="2"/>
  <c r="E772" i="2"/>
  <c r="F771" i="2"/>
  <c r="E771" i="2"/>
  <c r="G348" i="1" s="1"/>
  <c r="F770" i="2"/>
  <c r="E770" i="2"/>
  <c r="F769" i="2"/>
  <c r="E769" i="2"/>
  <c r="F768" i="2"/>
  <c r="E768" i="2"/>
  <c r="G346" i="1" s="1"/>
  <c r="F767" i="2"/>
  <c r="E767" i="2"/>
  <c r="F766" i="2"/>
  <c r="E766" i="2"/>
  <c r="F765" i="2"/>
  <c r="E765" i="2"/>
  <c r="F764" i="2"/>
  <c r="E764" i="2"/>
  <c r="F763" i="2"/>
  <c r="E763" i="2"/>
  <c r="F762" i="2"/>
  <c r="E762" i="2"/>
  <c r="F761" i="2"/>
  <c r="E761" i="2"/>
  <c r="G343" i="1" s="1"/>
  <c r="F760" i="2"/>
  <c r="E760" i="2"/>
  <c r="F759" i="2"/>
  <c r="E759" i="2"/>
  <c r="F758" i="2"/>
  <c r="E758" i="2"/>
  <c r="F757" i="2"/>
  <c r="E757" i="2"/>
  <c r="F756" i="2"/>
  <c r="E756" i="2"/>
  <c r="F755" i="2"/>
  <c r="E755" i="2"/>
  <c r="F754" i="2"/>
  <c r="E754" i="2"/>
  <c r="F753" i="2"/>
  <c r="E753" i="2"/>
  <c r="F752" i="2"/>
  <c r="E752" i="2"/>
  <c r="F751" i="2"/>
  <c r="E751" i="2"/>
  <c r="F750" i="2"/>
  <c r="E750" i="2"/>
  <c r="F749" i="2"/>
  <c r="E749" i="2"/>
  <c r="F748" i="2"/>
  <c r="E748" i="2"/>
  <c r="G336" i="1" s="1"/>
  <c r="F747" i="2"/>
  <c r="E747" i="2"/>
  <c r="F746" i="2"/>
  <c r="E746" i="2"/>
  <c r="F745" i="2"/>
  <c r="E745" i="2"/>
  <c r="F744" i="2"/>
  <c r="E744" i="2"/>
  <c r="F743" i="2"/>
  <c r="E743" i="2"/>
  <c r="G332" i="1" s="1"/>
  <c r="F742" i="2"/>
  <c r="E742" i="2"/>
  <c r="F741" i="2"/>
  <c r="E741" i="2"/>
  <c r="F740" i="2"/>
  <c r="E740" i="2"/>
  <c r="F739" i="2"/>
  <c r="E739" i="2"/>
  <c r="F738" i="2"/>
  <c r="E738" i="2"/>
  <c r="G330" i="1" s="1"/>
  <c r="F737" i="2"/>
  <c r="E737" i="2"/>
  <c r="F736" i="2"/>
  <c r="E736" i="2"/>
  <c r="F735" i="2"/>
  <c r="E735" i="2"/>
  <c r="F734" i="2"/>
  <c r="E734" i="2"/>
  <c r="F733" i="2"/>
  <c r="E733" i="2"/>
  <c r="G327" i="1" s="1"/>
  <c r="F732" i="2"/>
  <c r="E732" i="2"/>
  <c r="F731" i="2"/>
  <c r="E731" i="2"/>
  <c r="F730" i="2"/>
  <c r="E730" i="2"/>
  <c r="F729" i="2"/>
  <c r="E729" i="2"/>
  <c r="F728" i="2"/>
  <c r="E728" i="2"/>
  <c r="F727" i="2"/>
  <c r="E727" i="2"/>
  <c r="F726" i="2"/>
  <c r="E726" i="2"/>
  <c r="G323" i="1" s="1"/>
  <c r="F725" i="2"/>
  <c r="E725" i="2"/>
  <c r="F724" i="2"/>
  <c r="E724" i="2"/>
  <c r="F723" i="2"/>
  <c r="E723" i="2"/>
  <c r="G320" i="1" s="1"/>
  <c r="F722" i="2"/>
  <c r="E722" i="2"/>
  <c r="F721" i="2"/>
  <c r="E721" i="2"/>
  <c r="F720" i="2"/>
  <c r="E720" i="2"/>
  <c r="F719" i="2"/>
  <c r="E719" i="2"/>
  <c r="F718" i="2"/>
  <c r="E718" i="2"/>
  <c r="G317" i="1" s="1"/>
  <c r="F717" i="2"/>
  <c r="E717" i="2"/>
  <c r="F716" i="2"/>
  <c r="E716" i="2"/>
  <c r="F715" i="2"/>
  <c r="E715" i="2"/>
  <c r="F714" i="2"/>
  <c r="E714" i="2"/>
  <c r="F713" i="2"/>
  <c r="E713" i="2"/>
  <c r="F712" i="2"/>
  <c r="E712" i="2"/>
  <c r="F711" i="2"/>
  <c r="E711" i="2"/>
  <c r="F710" i="2"/>
  <c r="E710" i="2"/>
  <c r="F709" i="2"/>
  <c r="E709" i="2"/>
  <c r="F708" i="2"/>
  <c r="E708" i="2"/>
  <c r="F707" i="2"/>
  <c r="E707" i="2"/>
  <c r="F706" i="2"/>
  <c r="E706" i="2"/>
  <c r="F705" i="2"/>
  <c r="E705" i="2"/>
  <c r="F704" i="2"/>
  <c r="E704" i="2"/>
  <c r="F703" i="2"/>
  <c r="E703" i="2"/>
  <c r="F702" i="2"/>
  <c r="E702" i="2"/>
  <c r="F701" i="2"/>
  <c r="E701" i="2"/>
  <c r="F700" i="2"/>
  <c r="E700" i="2"/>
  <c r="F699" i="2"/>
  <c r="E699" i="2"/>
  <c r="F698" i="2"/>
  <c r="E698" i="2"/>
  <c r="G312" i="1" s="1"/>
  <c r="F697" i="2"/>
  <c r="E697" i="2"/>
  <c r="F696" i="2"/>
  <c r="E696" i="2"/>
  <c r="F695" i="2"/>
  <c r="E695" i="2"/>
  <c r="F694" i="2"/>
  <c r="E694" i="2"/>
  <c r="F693" i="2"/>
  <c r="E693" i="2"/>
  <c r="F692" i="2"/>
  <c r="E692" i="2"/>
  <c r="F691" i="2"/>
  <c r="E691" i="2"/>
  <c r="F690" i="2"/>
  <c r="E690" i="2"/>
  <c r="G308" i="1" s="1"/>
  <c r="F689" i="2"/>
  <c r="E689" i="2"/>
  <c r="F688" i="2"/>
  <c r="E688" i="2"/>
  <c r="G306" i="1" s="1"/>
  <c r="F687" i="2"/>
  <c r="E687" i="2"/>
  <c r="F686" i="2"/>
  <c r="E686" i="2"/>
  <c r="F685" i="2"/>
  <c r="E685" i="2"/>
  <c r="F684" i="2"/>
  <c r="E684" i="2"/>
  <c r="F683" i="2"/>
  <c r="E683" i="2"/>
  <c r="F682" i="2"/>
  <c r="E682" i="2"/>
  <c r="F681" i="2"/>
  <c r="E681" i="2"/>
  <c r="F680" i="2"/>
  <c r="E680" i="2"/>
  <c r="G303" i="1" s="1"/>
  <c r="F679" i="2"/>
  <c r="E679" i="2"/>
  <c r="F678" i="2"/>
  <c r="E678" i="2"/>
  <c r="G301" i="1" s="1"/>
  <c r="F677" i="2"/>
  <c r="E677" i="2"/>
  <c r="F676" i="2"/>
  <c r="E676" i="2"/>
  <c r="F675" i="2"/>
  <c r="E675" i="2"/>
  <c r="F674" i="2"/>
  <c r="E674" i="2"/>
  <c r="G298" i="1" s="1"/>
  <c r="F673" i="2"/>
  <c r="E673" i="2"/>
  <c r="G297" i="1" s="1"/>
  <c r="F672" i="2"/>
  <c r="E672" i="2"/>
  <c r="F671" i="2"/>
  <c r="E671" i="2"/>
  <c r="F670" i="2"/>
  <c r="E670" i="2"/>
  <c r="F669" i="2"/>
  <c r="E669" i="2"/>
  <c r="F668" i="2"/>
  <c r="E668" i="2"/>
  <c r="G293" i="1" s="1"/>
  <c r="F667" i="2"/>
  <c r="E667" i="2"/>
  <c r="F666" i="2"/>
  <c r="E666" i="2"/>
  <c r="F665" i="2"/>
  <c r="E665" i="2"/>
  <c r="F664" i="2"/>
  <c r="E664" i="2"/>
  <c r="F663" i="2"/>
  <c r="E663" i="2"/>
  <c r="G292" i="1" s="1"/>
  <c r="F662" i="2"/>
  <c r="E662" i="2"/>
  <c r="F661" i="2"/>
  <c r="E661" i="2"/>
  <c r="F660" i="2"/>
  <c r="E660" i="2"/>
  <c r="F659" i="2"/>
  <c r="E659" i="2"/>
  <c r="F658" i="2"/>
  <c r="E658" i="2"/>
  <c r="F657" i="2"/>
  <c r="E657" i="2"/>
  <c r="F656" i="2"/>
  <c r="E656" i="2"/>
  <c r="F655" i="2"/>
  <c r="E655" i="2"/>
  <c r="F654" i="2"/>
  <c r="E654" i="2"/>
  <c r="F653" i="2"/>
  <c r="E653" i="2"/>
  <c r="F652" i="2"/>
  <c r="E652" i="2"/>
  <c r="F651" i="2"/>
  <c r="E651" i="2"/>
  <c r="F650" i="2"/>
  <c r="E650" i="2"/>
  <c r="F649" i="2"/>
  <c r="E649" i="2"/>
  <c r="G288" i="1" s="1"/>
  <c r="F648" i="2"/>
  <c r="E648" i="2"/>
  <c r="F647" i="2"/>
  <c r="E647" i="2"/>
  <c r="F646" i="2"/>
  <c r="E646" i="2"/>
  <c r="F645" i="2"/>
  <c r="E645" i="2"/>
  <c r="F644" i="2"/>
  <c r="E644" i="2"/>
  <c r="F643" i="2"/>
  <c r="E643" i="2"/>
  <c r="F642" i="2"/>
  <c r="E642" i="2"/>
  <c r="F641" i="2"/>
  <c r="E641" i="2"/>
  <c r="F640" i="2"/>
  <c r="E640" i="2"/>
  <c r="F639" i="2"/>
  <c r="E639" i="2"/>
  <c r="F638" i="2"/>
  <c r="E638" i="2"/>
  <c r="F637" i="2"/>
  <c r="E637" i="2"/>
  <c r="F636" i="2"/>
  <c r="E636" i="2"/>
  <c r="F635" i="2"/>
  <c r="E635" i="2"/>
  <c r="G283" i="1" s="1"/>
  <c r="F634" i="2"/>
  <c r="E634" i="2"/>
  <c r="F633" i="2"/>
  <c r="E633" i="2"/>
  <c r="G281" i="1" s="1"/>
  <c r="F632" i="2"/>
  <c r="E632" i="2"/>
  <c r="F631" i="2"/>
  <c r="E631" i="2"/>
  <c r="F630" i="2"/>
  <c r="E630" i="2"/>
  <c r="F629" i="2"/>
  <c r="E629" i="2"/>
  <c r="F628" i="2"/>
  <c r="E628" i="2"/>
  <c r="G278" i="1" s="1"/>
  <c r="F627" i="2"/>
  <c r="E627" i="2"/>
  <c r="F626" i="2"/>
  <c r="E626" i="2"/>
  <c r="F625" i="2"/>
  <c r="E625" i="2"/>
  <c r="F624" i="2"/>
  <c r="E624" i="2"/>
  <c r="F623" i="2"/>
  <c r="E623" i="2"/>
  <c r="G275" i="1" s="1"/>
  <c r="F622" i="2"/>
  <c r="E622" i="2"/>
  <c r="F621" i="2"/>
  <c r="E621" i="2"/>
  <c r="G273" i="1" s="1"/>
  <c r="F620" i="2"/>
  <c r="E620" i="2"/>
  <c r="F619" i="2"/>
  <c r="E619" i="2"/>
  <c r="F618" i="2"/>
  <c r="E618" i="2"/>
  <c r="F617" i="2"/>
  <c r="E617" i="2"/>
  <c r="F616" i="2"/>
  <c r="E616" i="2"/>
  <c r="F615" i="2"/>
  <c r="E615" i="2"/>
  <c r="F614" i="2"/>
  <c r="E614" i="2"/>
  <c r="F613" i="2"/>
  <c r="E613" i="2"/>
  <c r="F612" i="2"/>
  <c r="E612" i="2"/>
  <c r="F611" i="2"/>
  <c r="E611" i="2"/>
  <c r="F610" i="2"/>
  <c r="E610" i="2"/>
  <c r="F609" i="2"/>
  <c r="E609" i="2"/>
  <c r="F608" i="2"/>
  <c r="E608" i="2"/>
  <c r="F607" i="2"/>
  <c r="E607" i="2"/>
  <c r="F606" i="2"/>
  <c r="E606" i="2"/>
  <c r="F605" i="2"/>
  <c r="E605" i="2"/>
  <c r="F604" i="2"/>
  <c r="E604" i="2"/>
  <c r="F603" i="2"/>
  <c r="E603" i="2"/>
  <c r="F602" i="2"/>
  <c r="E602" i="2"/>
  <c r="F601" i="2"/>
  <c r="E601" i="2"/>
  <c r="F600" i="2"/>
  <c r="E600" i="2"/>
  <c r="F599" i="2"/>
  <c r="E599" i="2"/>
  <c r="G263" i="1" s="1"/>
  <c r="F598" i="2"/>
  <c r="E598" i="2"/>
  <c r="G262" i="1" s="1"/>
  <c r="F597" i="2"/>
  <c r="E597" i="2"/>
  <c r="F596" i="2"/>
  <c r="E596" i="2"/>
  <c r="F595" i="2"/>
  <c r="E595" i="2"/>
  <c r="F594" i="2"/>
  <c r="E594" i="2"/>
  <c r="G258" i="1" s="1"/>
  <c r="F593" i="2"/>
  <c r="E593" i="2"/>
  <c r="G257" i="1" s="1"/>
  <c r="F592" i="2"/>
  <c r="E592" i="2"/>
  <c r="F591" i="2"/>
  <c r="E591" i="2"/>
  <c r="F590" i="2"/>
  <c r="E590" i="2"/>
  <c r="F589" i="2"/>
  <c r="E589" i="2"/>
  <c r="G253" i="1" s="1"/>
  <c r="F588" i="2"/>
  <c r="E588" i="2"/>
  <c r="G252" i="1" s="1"/>
  <c r="F587" i="2"/>
  <c r="E587" i="2"/>
  <c r="F586" i="2"/>
  <c r="E586" i="2"/>
  <c r="F585" i="2"/>
  <c r="E585" i="2"/>
  <c r="F584" i="2"/>
  <c r="E584" i="2"/>
  <c r="F583" i="2"/>
  <c r="E583" i="2"/>
  <c r="F582" i="2"/>
  <c r="E582" i="2"/>
  <c r="F581" i="2"/>
  <c r="E581" i="2"/>
  <c r="F580" i="2"/>
  <c r="E580" i="2"/>
  <c r="F579" i="2"/>
  <c r="E579" i="2"/>
  <c r="F578" i="2"/>
  <c r="E578" i="2"/>
  <c r="G246" i="1" s="1"/>
  <c r="F577" i="2"/>
  <c r="E577" i="2"/>
  <c r="F576" i="2"/>
  <c r="E576" i="2"/>
  <c r="F575" i="2"/>
  <c r="E575" i="2"/>
  <c r="F574" i="2"/>
  <c r="E574" i="2"/>
  <c r="F573" i="2"/>
  <c r="E573" i="2"/>
  <c r="G245" i="1" s="1"/>
  <c r="F572" i="2"/>
  <c r="E572" i="2"/>
  <c r="F571" i="2"/>
  <c r="E571" i="2"/>
  <c r="F570" i="2"/>
  <c r="E570" i="2"/>
  <c r="F569" i="2"/>
  <c r="E569" i="2"/>
  <c r="G243" i="1" s="1"/>
  <c r="F568" i="2"/>
  <c r="E568" i="2"/>
  <c r="F567" i="2"/>
  <c r="E567" i="2"/>
  <c r="F566" i="2"/>
  <c r="E566" i="2"/>
  <c r="F565" i="2"/>
  <c r="E565" i="2"/>
  <c r="F564" i="2"/>
  <c r="E564" i="2"/>
  <c r="F563" i="2"/>
  <c r="E563" i="2"/>
  <c r="F562" i="2"/>
  <c r="E562" i="2"/>
  <c r="F561" i="2"/>
  <c r="E561" i="2"/>
  <c r="F560" i="2"/>
  <c r="E560" i="2"/>
  <c r="G238" i="1" s="1"/>
  <c r="F559" i="2"/>
  <c r="E559" i="2"/>
  <c r="F558" i="2"/>
  <c r="E558" i="2"/>
  <c r="F557" i="2"/>
  <c r="E557" i="2"/>
  <c r="F556" i="2"/>
  <c r="E556" i="2"/>
  <c r="F555" i="2"/>
  <c r="E555" i="2"/>
  <c r="F554" i="2"/>
  <c r="E554" i="2"/>
  <c r="F553" i="2"/>
  <c r="E553" i="2"/>
  <c r="G235" i="1" s="1"/>
  <c r="F552" i="2"/>
  <c r="E552" i="2"/>
  <c r="F551" i="2"/>
  <c r="E551" i="2"/>
  <c r="F550" i="2"/>
  <c r="E550" i="2"/>
  <c r="F549" i="2"/>
  <c r="E549" i="2"/>
  <c r="F548" i="2"/>
  <c r="E548" i="2"/>
  <c r="G233" i="1" s="1"/>
  <c r="F547" i="2"/>
  <c r="E547" i="2"/>
  <c r="F546" i="2"/>
  <c r="E546" i="2"/>
  <c r="F545" i="2"/>
  <c r="E545" i="2"/>
  <c r="F544" i="2"/>
  <c r="E544" i="2"/>
  <c r="F543" i="2"/>
  <c r="E543" i="2"/>
  <c r="F542" i="2"/>
  <c r="E542" i="2"/>
  <c r="F541" i="2"/>
  <c r="E541" i="2"/>
  <c r="F540" i="2"/>
  <c r="E540" i="2"/>
  <c r="F539" i="2"/>
  <c r="E539" i="2"/>
  <c r="F538" i="2"/>
  <c r="E538" i="2"/>
  <c r="G228" i="1" s="1"/>
  <c r="F537" i="2"/>
  <c r="E537" i="2"/>
  <c r="F536" i="2"/>
  <c r="E536" i="2"/>
  <c r="F535" i="2"/>
  <c r="E535" i="2"/>
  <c r="F534" i="2"/>
  <c r="E534" i="2"/>
  <c r="F533" i="2"/>
  <c r="E533" i="2"/>
  <c r="F532" i="2"/>
  <c r="E532" i="2"/>
  <c r="F531" i="2"/>
  <c r="E531" i="2"/>
  <c r="F530" i="2"/>
  <c r="E530" i="2"/>
  <c r="F529" i="2"/>
  <c r="E529" i="2"/>
  <c r="F528" i="2"/>
  <c r="E528" i="2"/>
  <c r="F527" i="2"/>
  <c r="E527" i="2"/>
  <c r="F526" i="2"/>
  <c r="E526" i="2"/>
  <c r="F525" i="2"/>
  <c r="E525" i="2"/>
  <c r="F524" i="2"/>
  <c r="E524" i="2"/>
  <c r="G218" i="1" s="1"/>
  <c r="F523" i="2"/>
  <c r="E523" i="2"/>
  <c r="G217" i="1" s="1"/>
  <c r="F522" i="2"/>
  <c r="E522" i="2"/>
  <c r="F521" i="2"/>
  <c r="E521" i="2"/>
  <c r="F520" i="2"/>
  <c r="E520" i="2"/>
  <c r="F519" i="2"/>
  <c r="E519" i="2"/>
  <c r="F518" i="2"/>
  <c r="E518" i="2"/>
  <c r="F517" i="2"/>
  <c r="E517" i="2"/>
  <c r="F516" i="2"/>
  <c r="E516" i="2"/>
  <c r="F515" i="2"/>
  <c r="E515" i="2"/>
  <c r="F514" i="2"/>
  <c r="E514" i="2"/>
  <c r="G213" i="1" s="1"/>
  <c r="F513" i="2"/>
  <c r="E513" i="2"/>
  <c r="F512" i="2"/>
  <c r="E512" i="2"/>
  <c r="F511" i="2"/>
  <c r="E511" i="2"/>
  <c r="F510" i="2"/>
  <c r="E510" i="2"/>
  <c r="F509" i="2"/>
  <c r="E509" i="2"/>
  <c r="F508" i="2"/>
  <c r="E508" i="2"/>
  <c r="G210" i="1" s="1"/>
  <c r="F507" i="2"/>
  <c r="E507" i="2"/>
  <c r="F506" i="2"/>
  <c r="E506" i="2"/>
  <c r="F505" i="2"/>
  <c r="E505" i="2"/>
  <c r="F504" i="2"/>
  <c r="E504" i="2"/>
  <c r="F503" i="2"/>
  <c r="E503" i="2"/>
  <c r="F502" i="2"/>
  <c r="E502" i="2"/>
  <c r="F501" i="2"/>
  <c r="E501" i="2"/>
  <c r="F500" i="2"/>
  <c r="E500" i="2"/>
  <c r="F499" i="2"/>
  <c r="E499" i="2"/>
  <c r="F498" i="2"/>
  <c r="E498" i="2"/>
  <c r="F497" i="2"/>
  <c r="E497" i="2"/>
  <c r="F496" i="2"/>
  <c r="E496" i="2"/>
  <c r="F495" i="2"/>
  <c r="E495" i="2"/>
  <c r="F494" i="2"/>
  <c r="E494" i="2"/>
  <c r="F493" i="2"/>
  <c r="E493" i="2"/>
  <c r="F492" i="2"/>
  <c r="E492" i="2"/>
  <c r="F491" i="2"/>
  <c r="E491" i="2"/>
  <c r="G203" i="1" s="1"/>
  <c r="F490" i="2"/>
  <c r="E490" i="2"/>
  <c r="F489" i="2"/>
  <c r="E489" i="2"/>
  <c r="F488" i="2"/>
  <c r="E488" i="2"/>
  <c r="F487" i="2"/>
  <c r="E487" i="2"/>
  <c r="F486" i="2"/>
  <c r="E486" i="2"/>
  <c r="F485" i="2"/>
  <c r="E485" i="2"/>
  <c r="F484" i="2"/>
  <c r="E484" i="2"/>
  <c r="F483" i="2"/>
  <c r="E483" i="2"/>
  <c r="G198" i="1" s="1"/>
  <c r="F482" i="2"/>
  <c r="E482" i="2"/>
  <c r="F481" i="2"/>
  <c r="E481" i="2"/>
  <c r="F480" i="2"/>
  <c r="E480" i="2"/>
  <c r="F479" i="2"/>
  <c r="E479" i="2"/>
  <c r="F478" i="2"/>
  <c r="E478" i="2"/>
  <c r="F477" i="2"/>
  <c r="E477" i="2"/>
  <c r="F476" i="2"/>
  <c r="E476" i="2"/>
  <c r="F475" i="2"/>
  <c r="E475" i="2"/>
  <c r="F474" i="2"/>
  <c r="E474" i="2"/>
  <c r="F473" i="2"/>
  <c r="E473" i="2"/>
  <c r="G195" i="1" s="1"/>
  <c r="F472" i="2"/>
  <c r="E472" i="2"/>
  <c r="F471" i="2"/>
  <c r="E471" i="2"/>
  <c r="F470" i="2"/>
  <c r="E470" i="2"/>
  <c r="G193" i="1" s="1"/>
  <c r="F469" i="2"/>
  <c r="E469" i="2"/>
  <c r="F468" i="2"/>
  <c r="E468" i="2"/>
  <c r="G191" i="1" s="1"/>
  <c r="F467" i="2"/>
  <c r="E467" i="2"/>
  <c r="F466" i="2"/>
  <c r="E466" i="2"/>
  <c r="F465" i="2"/>
  <c r="E465" i="2"/>
  <c r="F464" i="2"/>
  <c r="E464" i="2"/>
  <c r="F463" i="2"/>
  <c r="E463" i="2"/>
  <c r="F462" i="2"/>
  <c r="E462" i="2"/>
  <c r="F461" i="2"/>
  <c r="E461" i="2"/>
  <c r="G188" i="1" s="1"/>
  <c r="F460" i="2"/>
  <c r="E460" i="2"/>
  <c r="F459" i="2"/>
  <c r="E459" i="2"/>
  <c r="F458" i="2"/>
  <c r="E458" i="2"/>
  <c r="G185" i="1" s="1"/>
  <c r="F457" i="2"/>
  <c r="E457" i="2"/>
  <c r="F456" i="2"/>
  <c r="E456" i="2"/>
  <c r="F455" i="2"/>
  <c r="E455" i="2"/>
  <c r="G183" i="1" s="1"/>
  <c r="F454" i="2"/>
  <c r="E454" i="2"/>
  <c r="F453" i="2"/>
  <c r="E453" i="2"/>
  <c r="F452" i="2"/>
  <c r="E452" i="2"/>
  <c r="F451" i="2"/>
  <c r="E451" i="2"/>
  <c r="F450" i="2"/>
  <c r="E450" i="2"/>
  <c r="F449" i="2"/>
  <c r="E449" i="2"/>
  <c r="F448" i="2"/>
  <c r="E448" i="2"/>
  <c r="F447" i="2"/>
  <c r="E447" i="2"/>
  <c r="F446" i="2"/>
  <c r="E446" i="2"/>
  <c r="F445" i="2"/>
  <c r="E445" i="2"/>
  <c r="G178" i="1" s="1"/>
  <c r="F444" i="2"/>
  <c r="E444" i="2"/>
  <c r="F443" i="2"/>
  <c r="E443" i="2"/>
  <c r="F442" i="2"/>
  <c r="E442" i="2"/>
  <c r="F441" i="2"/>
  <c r="E441" i="2"/>
  <c r="F440" i="2"/>
  <c r="E440" i="2"/>
  <c r="F439" i="2"/>
  <c r="E439" i="2"/>
  <c r="F438" i="2"/>
  <c r="E438" i="2"/>
  <c r="F437" i="2"/>
  <c r="E437" i="2"/>
  <c r="F436" i="2"/>
  <c r="E436" i="2"/>
  <c r="F435" i="2"/>
  <c r="E435" i="2"/>
  <c r="F434" i="2"/>
  <c r="E434" i="2"/>
  <c r="G173" i="1" s="1"/>
  <c r="F433" i="2"/>
  <c r="E433" i="2"/>
  <c r="G172" i="1" s="1"/>
  <c r="F432" i="2"/>
  <c r="E432" i="2"/>
  <c r="F431" i="2"/>
  <c r="E431" i="2"/>
  <c r="F430" i="2"/>
  <c r="E430" i="2"/>
  <c r="F429" i="2"/>
  <c r="E429" i="2"/>
  <c r="F428" i="2"/>
  <c r="E428" i="2"/>
  <c r="F427" i="2"/>
  <c r="E427" i="2"/>
  <c r="F426" i="2"/>
  <c r="E426" i="2"/>
  <c r="F425" i="2"/>
  <c r="E425" i="2"/>
  <c r="F424" i="2"/>
  <c r="E424" i="2"/>
  <c r="F423" i="2"/>
  <c r="E423" i="2"/>
  <c r="F422" i="2"/>
  <c r="E422" i="2"/>
  <c r="F421" i="2"/>
  <c r="E421" i="2"/>
  <c r="G168" i="1" s="1"/>
  <c r="F420" i="2"/>
  <c r="E420" i="2"/>
  <c r="F419" i="2"/>
  <c r="E419" i="2"/>
  <c r="F418" i="2"/>
  <c r="E418" i="2"/>
  <c r="F417" i="2"/>
  <c r="E417" i="2"/>
  <c r="F416" i="2"/>
  <c r="E416" i="2"/>
  <c r="F415" i="2"/>
  <c r="E415" i="2"/>
  <c r="F414" i="2"/>
  <c r="E414" i="2"/>
  <c r="F413" i="2"/>
  <c r="E413" i="2"/>
  <c r="G165" i="1" s="1"/>
  <c r="F412" i="2"/>
  <c r="E412" i="2"/>
  <c r="F411" i="2"/>
  <c r="E411" i="2"/>
  <c r="F410" i="2"/>
  <c r="E410" i="2"/>
  <c r="F409" i="2"/>
  <c r="E409" i="2"/>
  <c r="F408" i="2"/>
  <c r="E408" i="2"/>
  <c r="F407" i="2"/>
  <c r="E407" i="2"/>
  <c r="F406" i="2"/>
  <c r="E406" i="2"/>
  <c r="F405" i="2"/>
  <c r="E405" i="2"/>
  <c r="F404" i="2"/>
  <c r="E404" i="2"/>
  <c r="F403" i="2"/>
  <c r="E403" i="2"/>
  <c r="G163" i="1" s="1"/>
  <c r="F402" i="2"/>
  <c r="E402" i="2"/>
  <c r="F401" i="2"/>
  <c r="E401" i="2"/>
  <c r="F400" i="2"/>
  <c r="E400" i="2"/>
  <c r="F399" i="2"/>
  <c r="E399" i="2"/>
  <c r="F398" i="2"/>
  <c r="E398" i="2"/>
  <c r="G160" i="1" s="1"/>
  <c r="F397" i="2"/>
  <c r="E397" i="2"/>
  <c r="F396" i="2"/>
  <c r="E396" i="2"/>
  <c r="F395" i="2"/>
  <c r="E395" i="2"/>
  <c r="F394" i="2"/>
  <c r="E394" i="2"/>
  <c r="G158" i="1" s="1"/>
  <c r="F393" i="2"/>
  <c r="E393" i="2"/>
  <c r="F392" i="2"/>
  <c r="E392" i="2"/>
  <c r="F391" i="2"/>
  <c r="E391" i="2"/>
  <c r="F390" i="2"/>
  <c r="E390" i="2"/>
  <c r="F389" i="2"/>
  <c r="E389" i="2"/>
  <c r="F388" i="2"/>
  <c r="E388" i="2"/>
  <c r="F387" i="2"/>
  <c r="E387" i="2"/>
  <c r="F386" i="2"/>
  <c r="E386" i="2"/>
  <c r="F385" i="2"/>
  <c r="E385" i="2"/>
  <c r="F384" i="2"/>
  <c r="E384" i="2"/>
  <c r="F383" i="2"/>
  <c r="E383" i="2"/>
  <c r="G155" i="1" s="1"/>
  <c r="F382" i="2"/>
  <c r="E382" i="2"/>
  <c r="F381" i="2"/>
  <c r="E381" i="2"/>
  <c r="G153" i="1" s="1"/>
  <c r="F380" i="2"/>
  <c r="E380" i="2"/>
  <c r="F379" i="2"/>
  <c r="E379" i="2"/>
  <c r="F378" i="2"/>
  <c r="E378" i="2"/>
  <c r="G151" i="1" s="1"/>
  <c r="F377" i="2"/>
  <c r="E377" i="2"/>
  <c r="F376" i="2"/>
  <c r="E376" i="2"/>
  <c r="F375" i="2"/>
  <c r="E375" i="2"/>
  <c r="F374" i="2"/>
  <c r="E374" i="2"/>
  <c r="F373" i="2"/>
  <c r="E373" i="2"/>
  <c r="F372" i="2"/>
  <c r="E372" i="2"/>
  <c r="F371" i="2"/>
  <c r="E371" i="2"/>
  <c r="F370" i="2"/>
  <c r="E370" i="2"/>
  <c r="F369" i="2"/>
  <c r="E369" i="2"/>
  <c r="G148" i="1" s="1"/>
  <c r="F368" i="2"/>
  <c r="E368" i="2"/>
  <c r="G147" i="1" s="1"/>
  <c r="F367" i="2"/>
  <c r="E367" i="2"/>
  <c r="F366" i="2"/>
  <c r="E366" i="2"/>
  <c r="F365" i="2"/>
  <c r="E365" i="2"/>
  <c r="F364" i="2"/>
  <c r="E364" i="2"/>
  <c r="F363" i="2"/>
  <c r="E363" i="2"/>
  <c r="F362" i="2"/>
  <c r="E362" i="2"/>
  <c r="F361" i="2"/>
  <c r="E361" i="2"/>
  <c r="F360" i="2"/>
  <c r="E360" i="2"/>
  <c r="G143" i="1" s="1"/>
  <c r="F359" i="2"/>
  <c r="E359" i="2"/>
  <c r="F358" i="2"/>
  <c r="E358" i="2"/>
  <c r="G142" i="1" s="1"/>
  <c r="F357" i="2"/>
  <c r="E357" i="2"/>
  <c r="F356" i="2"/>
  <c r="E356" i="2"/>
  <c r="F355" i="2"/>
  <c r="E355" i="2"/>
  <c r="F354" i="2"/>
  <c r="E354" i="2"/>
  <c r="F353" i="2"/>
  <c r="E353" i="2"/>
  <c r="G138" i="1" s="1"/>
  <c r="F352" i="2"/>
  <c r="E352" i="2"/>
  <c r="F351" i="2"/>
  <c r="E351" i="2"/>
  <c r="F350" i="2"/>
  <c r="E350" i="2"/>
  <c r="F349" i="2"/>
  <c r="E349" i="2"/>
  <c r="F348" i="2"/>
  <c r="E348" i="2"/>
  <c r="F347" i="2"/>
  <c r="E347" i="2"/>
  <c r="F346" i="2"/>
  <c r="E346" i="2"/>
  <c r="F345" i="2"/>
  <c r="E345" i="2"/>
  <c r="F344" i="2"/>
  <c r="E344" i="2"/>
  <c r="G133" i="1" s="1"/>
  <c r="F343" i="2"/>
  <c r="E343" i="2"/>
  <c r="F342" i="2"/>
  <c r="E342" i="2"/>
  <c r="F341" i="2"/>
  <c r="E341" i="2"/>
  <c r="F340" i="2"/>
  <c r="E340" i="2"/>
  <c r="F339" i="2"/>
  <c r="E339" i="2"/>
  <c r="F338" i="2"/>
  <c r="E338" i="2"/>
  <c r="F337" i="2"/>
  <c r="E337" i="2"/>
  <c r="F336" i="2"/>
  <c r="E336" i="2"/>
  <c r="G128" i="1" s="1"/>
  <c r="F335" i="2"/>
  <c r="E335" i="2"/>
  <c r="F334" i="2"/>
  <c r="E334" i="2"/>
  <c r="F333" i="2"/>
  <c r="E333" i="2"/>
  <c r="G126" i="1" s="1"/>
  <c r="F332" i="2"/>
  <c r="E332" i="2"/>
  <c r="F331" i="2"/>
  <c r="E331" i="2"/>
  <c r="F330" i="2"/>
  <c r="E330" i="2"/>
  <c r="F329" i="2"/>
  <c r="E329" i="2"/>
  <c r="F328" i="2"/>
  <c r="E328" i="2"/>
  <c r="F327" i="2"/>
  <c r="E327" i="2"/>
  <c r="F326" i="2"/>
  <c r="E326" i="2"/>
  <c r="F325" i="2"/>
  <c r="E325" i="2"/>
  <c r="F324" i="2"/>
  <c r="E324" i="2"/>
  <c r="F323" i="2"/>
  <c r="E323" i="2"/>
  <c r="G123" i="1" s="1"/>
  <c r="F322" i="2"/>
  <c r="E322" i="2"/>
  <c r="F321" i="2"/>
  <c r="E321" i="2"/>
  <c r="F320" i="2"/>
  <c r="E320" i="2"/>
  <c r="F319" i="2"/>
  <c r="E319" i="2"/>
  <c r="F318" i="2"/>
  <c r="E318" i="2"/>
  <c r="G118" i="1" s="1"/>
  <c r="F317" i="2"/>
  <c r="E317" i="2"/>
  <c r="F316" i="2"/>
  <c r="E316" i="2"/>
  <c r="F315" i="2"/>
  <c r="E315" i="2"/>
  <c r="F314" i="2"/>
  <c r="E314" i="2"/>
  <c r="F313" i="2"/>
  <c r="E313" i="2"/>
  <c r="F312" i="2"/>
  <c r="E312" i="2"/>
  <c r="F311" i="2"/>
  <c r="E311" i="2"/>
  <c r="F310" i="2"/>
  <c r="E310" i="2"/>
  <c r="F309" i="2"/>
  <c r="E309" i="2"/>
  <c r="F308" i="2"/>
  <c r="E308" i="2"/>
  <c r="F307" i="2"/>
  <c r="E307" i="2"/>
  <c r="F306" i="2"/>
  <c r="E306" i="2"/>
  <c r="F305" i="2"/>
  <c r="E305" i="2"/>
  <c r="F304" i="2"/>
  <c r="E304" i="2"/>
  <c r="F303" i="2"/>
  <c r="E303" i="2"/>
  <c r="G111" i="1" s="1"/>
  <c r="F302" i="2"/>
  <c r="E302" i="2"/>
  <c r="F301" i="2"/>
  <c r="E301" i="2"/>
  <c r="F300" i="2"/>
  <c r="E300" i="2"/>
  <c r="F299" i="2"/>
  <c r="E299" i="2"/>
  <c r="F298" i="2"/>
  <c r="E298" i="2"/>
  <c r="F297" i="2"/>
  <c r="E297" i="2"/>
  <c r="F296" i="2"/>
  <c r="E296" i="2"/>
  <c r="F295" i="2"/>
  <c r="E295" i="2"/>
  <c r="F294" i="2"/>
  <c r="E294" i="2"/>
  <c r="G108" i="1" s="1"/>
  <c r="F293" i="2"/>
  <c r="E293" i="2"/>
  <c r="F292" i="2"/>
  <c r="E292" i="2"/>
  <c r="F291" i="2"/>
  <c r="E291" i="2"/>
  <c r="F290" i="2"/>
  <c r="E290" i="2"/>
  <c r="F289" i="2"/>
  <c r="E289" i="2"/>
  <c r="F288" i="2"/>
  <c r="E288" i="2"/>
  <c r="G105" i="1" s="1"/>
  <c r="F287" i="2"/>
  <c r="E287" i="2"/>
  <c r="F286" i="2"/>
  <c r="E286" i="2"/>
  <c r="G103" i="1" s="1"/>
  <c r="F285" i="2"/>
  <c r="E285" i="2"/>
  <c r="F284" i="2"/>
  <c r="E284" i="2"/>
  <c r="F283" i="2"/>
  <c r="E283" i="2"/>
  <c r="G102" i="1" s="1"/>
  <c r="F282" i="2"/>
  <c r="E282" i="2"/>
  <c r="F281" i="2"/>
  <c r="E281" i="2"/>
  <c r="F280" i="2"/>
  <c r="E280" i="2"/>
  <c r="F279" i="2"/>
  <c r="E279" i="2"/>
  <c r="F278" i="2"/>
  <c r="E278" i="2"/>
  <c r="F277" i="2"/>
  <c r="E277" i="2"/>
  <c r="F276" i="2"/>
  <c r="E276" i="2"/>
  <c r="F275" i="2"/>
  <c r="E275" i="2"/>
  <c r="F274" i="2"/>
  <c r="E274" i="2"/>
  <c r="F273" i="2"/>
  <c r="E273" i="2"/>
  <c r="G97" i="1" s="1"/>
  <c r="F272" i="2"/>
  <c r="E272" i="2"/>
  <c r="F271" i="2"/>
  <c r="E271" i="2"/>
  <c r="F270" i="2"/>
  <c r="E270" i="2"/>
  <c r="F269" i="2"/>
  <c r="E269" i="2"/>
  <c r="F268" i="2"/>
  <c r="E268" i="2"/>
  <c r="F267" i="2"/>
  <c r="E267" i="2"/>
  <c r="F266" i="2"/>
  <c r="E266" i="2"/>
  <c r="F265" i="2"/>
  <c r="E265" i="2"/>
  <c r="F264" i="2"/>
  <c r="E264" i="2"/>
  <c r="F263" i="2"/>
  <c r="E263" i="2"/>
  <c r="G93" i="1" s="1"/>
  <c r="F262" i="2"/>
  <c r="E262" i="2"/>
  <c r="F261" i="2"/>
  <c r="E261" i="2"/>
  <c r="F260" i="2"/>
  <c r="E260" i="2"/>
  <c r="F259" i="2"/>
  <c r="E259" i="2"/>
  <c r="F258" i="2"/>
  <c r="E258" i="2"/>
  <c r="F257" i="2"/>
  <c r="E257" i="2"/>
  <c r="F256" i="2"/>
  <c r="E256" i="2"/>
  <c r="F255" i="2"/>
  <c r="E255" i="2"/>
  <c r="F254" i="2"/>
  <c r="E254" i="2"/>
  <c r="F253" i="2"/>
  <c r="E253" i="2"/>
  <c r="F252" i="2"/>
  <c r="E252" i="2"/>
  <c r="F251" i="2"/>
  <c r="E251" i="2"/>
  <c r="F250" i="2"/>
  <c r="E250" i="2"/>
  <c r="F249" i="2"/>
  <c r="E249" i="2"/>
  <c r="F248" i="2"/>
  <c r="E248" i="2"/>
  <c r="F247" i="2"/>
  <c r="E247" i="2"/>
  <c r="F246" i="2"/>
  <c r="E246" i="2"/>
  <c r="F245" i="2"/>
  <c r="E245" i="2"/>
  <c r="F244" i="2"/>
  <c r="E244" i="2"/>
  <c r="F243" i="2"/>
  <c r="E243" i="2"/>
  <c r="F242" i="2"/>
  <c r="E242" i="2"/>
  <c r="F241" i="2"/>
  <c r="E241" i="2"/>
  <c r="G83" i="1" s="1"/>
  <c r="F240" i="2"/>
  <c r="E240" i="2"/>
  <c r="F239" i="2"/>
  <c r="E239" i="2"/>
  <c r="F238" i="2"/>
  <c r="E238" i="2"/>
  <c r="F237" i="2"/>
  <c r="E237" i="2"/>
  <c r="F236" i="2"/>
  <c r="E236" i="2"/>
  <c r="F235" i="2"/>
  <c r="E235" i="2"/>
  <c r="F234" i="2"/>
  <c r="E234" i="2"/>
  <c r="F233" i="2"/>
  <c r="E233" i="2"/>
  <c r="F232" i="2"/>
  <c r="E232" i="2"/>
  <c r="F231" i="2"/>
  <c r="E231" i="2"/>
  <c r="F230" i="2"/>
  <c r="E230" i="2"/>
  <c r="F229" i="2"/>
  <c r="E229" i="2"/>
  <c r="F228" i="2"/>
  <c r="E228" i="2"/>
  <c r="F227" i="2"/>
  <c r="E227" i="2"/>
  <c r="F226" i="2"/>
  <c r="E226" i="2"/>
  <c r="F225" i="2"/>
  <c r="E225" i="2"/>
  <c r="G73" i="1" s="1"/>
  <c r="F224" i="2"/>
  <c r="E224" i="2"/>
  <c r="F223" i="2"/>
  <c r="E223" i="2"/>
  <c r="G71" i="1" s="1"/>
  <c r="F222" i="2"/>
  <c r="E222" i="2"/>
  <c r="F221" i="2"/>
  <c r="E221" i="2"/>
  <c r="F220" i="2"/>
  <c r="E220" i="2"/>
  <c r="F219" i="2"/>
  <c r="E219" i="2"/>
  <c r="F218" i="2"/>
  <c r="E218" i="2"/>
  <c r="F217" i="2"/>
  <c r="E217" i="2"/>
  <c r="F216" i="2"/>
  <c r="E216" i="2"/>
  <c r="G68" i="1" s="1"/>
  <c r="F215" i="2"/>
  <c r="E215" i="2"/>
  <c r="F214" i="2"/>
  <c r="E214" i="2"/>
  <c r="F213" i="2"/>
  <c r="E213" i="2"/>
  <c r="G66" i="1" s="1"/>
  <c r="F212" i="2"/>
  <c r="E212" i="2"/>
  <c r="F211" i="2"/>
  <c r="E211" i="2"/>
  <c r="F210" i="2"/>
  <c r="E210" i="2"/>
  <c r="F209" i="2"/>
  <c r="E209" i="2"/>
  <c r="F208" i="2"/>
  <c r="E208" i="2"/>
  <c r="G63" i="1" s="1"/>
  <c r="F207" i="2"/>
  <c r="E207" i="2"/>
  <c r="F206" i="2"/>
  <c r="E206" i="2"/>
  <c r="F205" i="2"/>
  <c r="E205" i="2"/>
  <c r="F204" i="2"/>
  <c r="E204" i="2"/>
  <c r="F203" i="2"/>
  <c r="E203" i="2"/>
  <c r="F202" i="2"/>
  <c r="E202" i="2"/>
  <c r="F201" i="2"/>
  <c r="E201" i="2"/>
  <c r="F200" i="2"/>
  <c r="E200" i="2"/>
  <c r="F199" i="2"/>
  <c r="E199" i="2"/>
  <c r="F198" i="2"/>
  <c r="E198" i="2"/>
  <c r="F197" i="2"/>
  <c r="E197" i="2"/>
  <c r="F196" i="2"/>
  <c r="E196" i="2"/>
  <c r="G58" i="1" s="1"/>
  <c r="F195" i="2"/>
  <c r="E195" i="2"/>
  <c r="F194" i="2"/>
  <c r="E194" i="2"/>
  <c r="F193" i="2"/>
  <c r="E193" i="2"/>
  <c r="F192" i="2"/>
  <c r="E192" i="2"/>
  <c r="F191" i="2"/>
  <c r="E191" i="2"/>
  <c r="F190" i="2"/>
  <c r="E190" i="2"/>
  <c r="F189" i="2"/>
  <c r="E189" i="2"/>
  <c r="F188" i="2"/>
  <c r="E188" i="2"/>
  <c r="F187" i="2"/>
  <c r="E187" i="2"/>
  <c r="F186" i="2"/>
  <c r="E186" i="2"/>
  <c r="F185" i="2"/>
  <c r="E185" i="2"/>
  <c r="F184" i="2"/>
  <c r="E184" i="2"/>
  <c r="F183" i="2"/>
  <c r="E183" i="2"/>
  <c r="F182" i="2"/>
  <c r="E182" i="2"/>
  <c r="F181" i="2"/>
  <c r="E181" i="2"/>
  <c r="F180" i="2"/>
  <c r="E180" i="2"/>
  <c r="F179" i="2"/>
  <c r="E179" i="2"/>
  <c r="F178" i="2"/>
  <c r="E178" i="2"/>
  <c r="G53" i="1" s="1"/>
  <c r="F177" i="2"/>
  <c r="E177" i="2"/>
  <c r="F176" i="2"/>
  <c r="E176" i="2"/>
  <c r="F175" i="2"/>
  <c r="E175" i="2"/>
  <c r="F174" i="2"/>
  <c r="E174" i="2"/>
  <c r="F173" i="2"/>
  <c r="E173" i="2"/>
  <c r="F172" i="2"/>
  <c r="E172" i="2"/>
  <c r="F171" i="2"/>
  <c r="E171" i="2"/>
  <c r="F170" i="2"/>
  <c r="E170" i="2"/>
  <c r="F169" i="2"/>
  <c r="E169" i="2"/>
  <c r="F168" i="2"/>
  <c r="E168" i="2"/>
  <c r="G51" i="1" s="1"/>
  <c r="F167" i="2"/>
  <c r="E167" i="2"/>
  <c r="F166" i="2"/>
  <c r="E166" i="2"/>
  <c r="F165" i="2"/>
  <c r="E165" i="2"/>
  <c r="F164" i="2"/>
  <c r="E164" i="2"/>
  <c r="F163" i="2"/>
  <c r="E163" i="2"/>
  <c r="F162" i="2"/>
  <c r="E162" i="2"/>
  <c r="F161" i="2"/>
  <c r="E161" i="2"/>
  <c r="F160" i="2"/>
  <c r="E160" i="2"/>
  <c r="F159" i="2"/>
  <c r="E159" i="2"/>
  <c r="G48" i="1" s="1"/>
  <c r="F158" i="2"/>
  <c r="E158" i="2"/>
  <c r="F157" i="2"/>
  <c r="E157" i="2"/>
  <c r="F156" i="2"/>
  <c r="E156" i="2"/>
  <c r="F155" i="2"/>
  <c r="E155" i="2"/>
  <c r="F154" i="2"/>
  <c r="E154" i="2"/>
  <c r="F153" i="2"/>
  <c r="E153" i="2"/>
  <c r="G47" i="1" s="1"/>
  <c r="F152" i="2"/>
  <c r="E152" i="2"/>
  <c r="F151" i="2"/>
  <c r="E151" i="2"/>
  <c r="F150" i="2"/>
  <c r="E150" i="2"/>
  <c r="F149" i="2"/>
  <c r="E149" i="2"/>
  <c r="F148" i="2"/>
  <c r="E148" i="2"/>
  <c r="F147" i="2"/>
  <c r="E147" i="2"/>
  <c r="F146" i="2"/>
  <c r="E146" i="2"/>
  <c r="F145" i="2"/>
  <c r="E145" i="2"/>
  <c r="F144" i="2"/>
  <c r="E144" i="2"/>
  <c r="G43" i="1" s="1"/>
  <c r="F143" i="2"/>
  <c r="E143" i="2"/>
  <c r="F142" i="2"/>
  <c r="E142" i="2"/>
  <c r="F141" i="2"/>
  <c r="E141" i="2"/>
  <c r="F140" i="2"/>
  <c r="E140" i="2"/>
  <c r="F139" i="2"/>
  <c r="E139" i="2"/>
  <c r="F138" i="2"/>
  <c r="E138" i="2"/>
  <c r="F137" i="2"/>
  <c r="E137" i="2"/>
  <c r="F136" i="2"/>
  <c r="E136" i="2"/>
  <c r="F135" i="2"/>
  <c r="E135" i="2"/>
  <c r="F134" i="2"/>
  <c r="E134" i="2"/>
  <c r="F133" i="2"/>
  <c r="E133" i="2"/>
  <c r="G41" i="1" s="1"/>
  <c r="F132" i="2"/>
  <c r="E132" i="2"/>
  <c r="F131" i="2"/>
  <c r="E131" i="2"/>
  <c r="F130" i="2"/>
  <c r="E130" i="2"/>
  <c r="F129" i="2"/>
  <c r="E129" i="2"/>
  <c r="F128" i="2"/>
  <c r="E128" i="2"/>
  <c r="F127" i="2"/>
  <c r="E127" i="2"/>
  <c r="F126" i="2"/>
  <c r="E126" i="2"/>
  <c r="F125" i="2"/>
  <c r="E125" i="2"/>
  <c r="G38" i="1" s="1"/>
  <c r="F124" i="2"/>
  <c r="E124" i="2"/>
  <c r="F123" i="2"/>
  <c r="E123" i="2"/>
  <c r="F122" i="2"/>
  <c r="E122" i="2"/>
  <c r="F121" i="2"/>
  <c r="E121" i="2"/>
  <c r="F120" i="2"/>
  <c r="E120" i="2"/>
  <c r="F119" i="2"/>
  <c r="E119" i="2"/>
  <c r="F118" i="2"/>
  <c r="E118" i="2"/>
  <c r="F117" i="2"/>
  <c r="E117" i="2"/>
  <c r="F116" i="2"/>
  <c r="E116" i="2"/>
  <c r="F115" i="2"/>
  <c r="E115" i="2"/>
  <c r="F114" i="2"/>
  <c r="E114" i="2"/>
  <c r="F113" i="2"/>
  <c r="E113" i="2"/>
  <c r="F112" i="2"/>
  <c r="E112" i="2"/>
  <c r="F111" i="2"/>
  <c r="E111" i="2"/>
  <c r="F110" i="2"/>
  <c r="E110" i="2"/>
  <c r="F109" i="2"/>
  <c r="E109" i="2"/>
  <c r="F108" i="2"/>
  <c r="E108" i="2"/>
  <c r="G33" i="1" s="1"/>
  <c r="F107" i="2"/>
  <c r="E107" i="2"/>
  <c r="F106" i="2"/>
  <c r="E106" i="2"/>
  <c r="F105" i="2"/>
  <c r="E105" i="2"/>
  <c r="F104" i="2"/>
  <c r="E104" i="2"/>
  <c r="F103" i="2"/>
  <c r="E103" i="2"/>
  <c r="F102" i="2"/>
  <c r="E102" i="2"/>
  <c r="F101" i="2"/>
  <c r="E101" i="2"/>
  <c r="F100" i="2"/>
  <c r="E100" i="2"/>
  <c r="F99" i="2"/>
  <c r="E99" i="2"/>
  <c r="F98" i="2"/>
  <c r="E98" i="2"/>
  <c r="G28" i="1" s="1"/>
  <c r="F97" i="2"/>
  <c r="E97" i="2"/>
  <c r="F96" i="2"/>
  <c r="E96" i="2"/>
  <c r="F95" i="2"/>
  <c r="E95" i="2"/>
  <c r="F94" i="2"/>
  <c r="E94" i="2"/>
  <c r="F93" i="2"/>
  <c r="E93" i="2"/>
  <c r="F92" i="2"/>
  <c r="E92" i="2"/>
  <c r="F91" i="2"/>
  <c r="E91" i="2"/>
  <c r="F90" i="2"/>
  <c r="E90" i="2"/>
  <c r="F89" i="2"/>
  <c r="E89" i="2"/>
  <c r="F88" i="2"/>
  <c r="E88" i="2"/>
  <c r="F87" i="2"/>
  <c r="E87" i="2"/>
  <c r="F86" i="2"/>
  <c r="E86" i="2"/>
  <c r="G23" i="1" s="1"/>
  <c r="F85" i="2"/>
  <c r="E85" i="2"/>
  <c r="F84" i="2"/>
  <c r="E84" i="2"/>
  <c r="F83" i="2"/>
  <c r="E83" i="2"/>
  <c r="F82" i="2"/>
  <c r="E82" i="2"/>
  <c r="F81" i="2"/>
  <c r="E81" i="2"/>
  <c r="F80" i="2"/>
  <c r="E80" i="2"/>
  <c r="F79" i="2"/>
  <c r="E79" i="2"/>
  <c r="F78" i="2"/>
  <c r="E78" i="2"/>
  <c r="F77" i="2"/>
  <c r="E77" i="2"/>
  <c r="F76" i="2"/>
  <c r="E76" i="2"/>
  <c r="F75" i="2"/>
  <c r="E75" i="2"/>
  <c r="F74" i="2"/>
  <c r="E74" i="2"/>
  <c r="G18" i="1" s="1"/>
  <c r="F73" i="2"/>
  <c r="E73" i="2"/>
  <c r="F72" i="2"/>
  <c r="E72" i="2"/>
  <c r="F71" i="2"/>
  <c r="E71" i="2"/>
  <c r="F70" i="2"/>
  <c r="E70" i="2"/>
  <c r="F69" i="2"/>
  <c r="E69" i="2"/>
  <c r="F68" i="2"/>
  <c r="E68" i="2"/>
  <c r="G16" i="1" s="1"/>
  <c r="F67" i="2"/>
  <c r="E67" i="2"/>
  <c r="F66" i="2"/>
  <c r="E66" i="2"/>
  <c r="F65" i="2"/>
  <c r="E65" i="2"/>
  <c r="F64" i="2"/>
  <c r="E64" i="2"/>
  <c r="F63" i="2"/>
  <c r="E63" i="2"/>
  <c r="F62" i="2"/>
  <c r="E62" i="2"/>
  <c r="F61" i="2"/>
  <c r="E61" i="2"/>
  <c r="F60" i="2"/>
  <c r="E60" i="2"/>
  <c r="F59" i="2"/>
  <c r="E59" i="2"/>
  <c r="F58" i="2"/>
  <c r="E58" i="2"/>
  <c r="F57" i="2"/>
  <c r="E57" i="2"/>
  <c r="F56" i="2"/>
  <c r="E56" i="2"/>
  <c r="F55" i="2"/>
  <c r="E55" i="2"/>
  <c r="F54" i="2"/>
  <c r="E54" i="2"/>
  <c r="F53" i="2"/>
  <c r="E53" i="2"/>
  <c r="F52" i="2"/>
  <c r="E52" i="2"/>
  <c r="F51" i="2"/>
  <c r="E51" i="2"/>
  <c r="F50" i="2"/>
  <c r="E50" i="2"/>
  <c r="F49" i="2"/>
  <c r="E49" i="2"/>
  <c r="F48" i="2"/>
  <c r="E48" i="2"/>
  <c r="F47" i="2"/>
  <c r="E47" i="2"/>
  <c r="F46" i="2"/>
  <c r="E46" i="2"/>
  <c r="F45" i="2"/>
  <c r="E45" i="2"/>
  <c r="G13" i="1" s="1"/>
  <c r="F44" i="2"/>
  <c r="E44" i="2"/>
  <c r="F43" i="2"/>
  <c r="E43" i="2"/>
  <c r="G12" i="1" s="1"/>
  <c r="F42" i="2"/>
  <c r="E42" i="2"/>
  <c r="F41" i="2"/>
  <c r="E41" i="2"/>
  <c r="F40" i="2"/>
  <c r="E40" i="2"/>
  <c r="F39" i="2"/>
  <c r="E39" i="2"/>
  <c r="F38" i="2"/>
  <c r="E38" i="2"/>
  <c r="F37" i="2"/>
  <c r="E37" i="2"/>
  <c r="F36" i="2"/>
  <c r="E36" i="2"/>
  <c r="F35" i="2"/>
  <c r="E35" i="2"/>
  <c r="F34" i="2"/>
  <c r="E34" i="2"/>
  <c r="F33" i="2"/>
  <c r="E33" i="2"/>
  <c r="F32" i="2"/>
  <c r="E32" i="2"/>
  <c r="F31" i="2"/>
  <c r="E31" i="2"/>
  <c r="F30" i="2"/>
  <c r="E30" i="2"/>
  <c r="F29" i="2"/>
  <c r="E29" i="2"/>
  <c r="F28" i="2"/>
  <c r="E28" i="2"/>
  <c r="F27" i="2"/>
  <c r="E27" i="2"/>
  <c r="F26" i="2"/>
  <c r="E26" i="2"/>
  <c r="F25" i="2"/>
  <c r="E25" i="2"/>
  <c r="F24" i="2"/>
  <c r="E24" i="2"/>
  <c r="F23" i="2"/>
  <c r="E23" i="2"/>
  <c r="F22" i="2"/>
  <c r="E22" i="2"/>
  <c r="F21" i="2"/>
  <c r="E21" i="2"/>
  <c r="G8" i="1" s="1"/>
  <c r="F20" i="2"/>
  <c r="E20" i="2"/>
  <c r="F19" i="2"/>
  <c r="E19" i="2"/>
  <c r="F18" i="2"/>
  <c r="E18" i="2"/>
  <c r="F17" i="2"/>
  <c r="E17" i="2"/>
  <c r="F16" i="2"/>
  <c r="E16" i="2"/>
  <c r="F15" i="2"/>
  <c r="E15" i="2"/>
  <c r="F14" i="2"/>
  <c r="E14" i="2"/>
  <c r="F13" i="2"/>
  <c r="E13" i="2"/>
  <c r="F12" i="2"/>
  <c r="E12" i="2"/>
  <c r="F11" i="2"/>
  <c r="E11" i="2"/>
  <c r="F10" i="2"/>
  <c r="K3" i="2" s="1"/>
  <c r="E10" i="2"/>
  <c r="F9" i="2"/>
  <c r="E9" i="2"/>
  <c r="F8" i="2"/>
  <c r="E8" i="2"/>
  <c r="F7" i="2"/>
  <c r="K4" i="2" s="1"/>
  <c r="E7" i="2"/>
  <c r="H461" i="1"/>
  <c r="H460" i="1"/>
  <c r="G460" i="1"/>
  <c r="H459" i="1"/>
  <c r="G459" i="1"/>
  <c r="H458" i="1"/>
  <c r="H457" i="1"/>
  <c r="G457" i="1"/>
  <c r="H456" i="1"/>
  <c r="H455" i="1"/>
  <c r="G455" i="1"/>
  <c r="H454" i="1"/>
  <c r="G454" i="1"/>
  <c r="H453" i="1"/>
  <c r="G453" i="1"/>
  <c r="H452" i="1"/>
  <c r="H451" i="1"/>
  <c r="G451" i="1"/>
  <c r="H450" i="1"/>
  <c r="G450" i="1"/>
  <c r="H449" i="1"/>
  <c r="G449" i="1"/>
  <c r="H448" i="1"/>
  <c r="H447" i="1"/>
  <c r="G447" i="1"/>
  <c r="H446" i="1"/>
  <c r="H445" i="1"/>
  <c r="G445" i="1"/>
  <c r="H444" i="1"/>
  <c r="G444" i="1"/>
  <c r="H443" i="1"/>
  <c r="G443" i="1"/>
  <c r="H442" i="1"/>
  <c r="H441" i="1"/>
  <c r="G441" i="1"/>
  <c r="H440" i="1"/>
  <c r="G440" i="1"/>
  <c r="H439" i="1"/>
  <c r="G439" i="1"/>
  <c r="H438" i="1"/>
  <c r="H437" i="1"/>
  <c r="G437" i="1"/>
  <c r="H436" i="1"/>
  <c r="H435" i="1"/>
  <c r="G435" i="1"/>
  <c r="H434" i="1"/>
  <c r="G434" i="1"/>
  <c r="H433" i="1"/>
  <c r="G433" i="1"/>
  <c r="H432" i="1"/>
  <c r="G432" i="1"/>
  <c r="H431" i="1"/>
  <c r="G431" i="1"/>
  <c r="H430" i="1"/>
  <c r="G430" i="1"/>
  <c r="H429" i="1"/>
  <c r="G429" i="1"/>
  <c r="H428" i="1"/>
  <c r="G428" i="1"/>
  <c r="H427" i="1"/>
  <c r="H426" i="1"/>
  <c r="G426" i="1"/>
  <c r="H425" i="1"/>
  <c r="G425" i="1"/>
  <c r="H424" i="1"/>
  <c r="G424" i="1"/>
  <c r="H423" i="1"/>
  <c r="G423" i="1"/>
  <c r="H422" i="1"/>
  <c r="H421" i="1"/>
  <c r="G421" i="1"/>
  <c r="H420" i="1"/>
  <c r="G420" i="1"/>
  <c r="H419" i="1"/>
  <c r="G419" i="1"/>
  <c r="H418" i="1"/>
  <c r="H417" i="1"/>
  <c r="G417" i="1"/>
  <c r="H416" i="1"/>
  <c r="G416" i="1"/>
  <c r="H415" i="1"/>
  <c r="G415" i="1"/>
  <c r="H414" i="1"/>
  <c r="G414" i="1"/>
  <c r="H413" i="1"/>
  <c r="G413" i="1"/>
  <c r="H412" i="1"/>
  <c r="G412" i="1"/>
  <c r="H411" i="1"/>
  <c r="H410" i="1"/>
  <c r="G410" i="1"/>
  <c r="H409" i="1"/>
  <c r="G409" i="1"/>
  <c r="H408" i="1"/>
  <c r="G408" i="1"/>
  <c r="H407" i="1"/>
  <c r="G407" i="1"/>
  <c r="H406" i="1"/>
  <c r="G406" i="1"/>
  <c r="H405" i="1"/>
  <c r="H404" i="1"/>
  <c r="G404" i="1"/>
  <c r="H403" i="1"/>
  <c r="H402" i="1"/>
  <c r="H401" i="1"/>
  <c r="G401" i="1"/>
  <c r="H400" i="1"/>
  <c r="G400" i="1"/>
  <c r="H399" i="1"/>
  <c r="G399" i="1"/>
  <c r="H398" i="1"/>
  <c r="G398" i="1"/>
  <c r="H397" i="1"/>
  <c r="H396" i="1"/>
  <c r="G396" i="1"/>
  <c r="H395" i="1"/>
  <c r="G395" i="1"/>
  <c r="H394" i="1"/>
  <c r="G394" i="1"/>
  <c r="H393" i="1"/>
  <c r="G393" i="1"/>
  <c r="H392" i="1"/>
  <c r="H391" i="1"/>
  <c r="G391" i="1"/>
  <c r="H390" i="1"/>
  <c r="G390" i="1"/>
  <c r="H389" i="1"/>
  <c r="G389" i="1"/>
  <c r="H388" i="1"/>
  <c r="G388" i="1"/>
  <c r="H387" i="1"/>
  <c r="H386" i="1"/>
  <c r="G386" i="1"/>
  <c r="H385" i="1"/>
  <c r="G385" i="1"/>
  <c r="H384" i="1"/>
  <c r="G384" i="1"/>
  <c r="H383" i="1"/>
  <c r="G383" i="1"/>
  <c r="H382" i="1"/>
  <c r="H381" i="1"/>
  <c r="G381" i="1"/>
  <c r="H380" i="1"/>
  <c r="G380" i="1"/>
  <c r="H379" i="1"/>
  <c r="G379" i="1"/>
  <c r="H378" i="1"/>
  <c r="H377" i="1"/>
  <c r="G377" i="1"/>
  <c r="H376" i="1"/>
  <c r="H375" i="1"/>
  <c r="G375" i="1"/>
  <c r="H374" i="1"/>
  <c r="G374" i="1"/>
  <c r="H373" i="1"/>
  <c r="G373" i="1"/>
  <c r="H372" i="1"/>
  <c r="G372" i="1"/>
  <c r="H371" i="1"/>
  <c r="H370" i="1"/>
  <c r="G370" i="1"/>
  <c r="H369" i="1"/>
  <c r="G369" i="1"/>
  <c r="H368" i="1"/>
  <c r="G368" i="1"/>
  <c r="H367" i="1"/>
  <c r="G367" i="1"/>
  <c r="H366" i="1"/>
  <c r="G366" i="1"/>
  <c r="H365" i="1"/>
  <c r="G365" i="1"/>
  <c r="H364" i="1"/>
  <c r="G364" i="1"/>
  <c r="H363" i="1"/>
  <c r="G363" i="1"/>
  <c r="H362" i="1"/>
  <c r="G362" i="1"/>
  <c r="H361" i="1"/>
  <c r="G361" i="1"/>
  <c r="H360" i="1"/>
  <c r="H359" i="1"/>
  <c r="G359" i="1"/>
  <c r="H358" i="1"/>
  <c r="G358" i="1"/>
  <c r="H357" i="1"/>
  <c r="G357" i="1"/>
  <c r="H356" i="1"/>
  <c r="H355" i="1"/>
  <c r="G355" i="1"/>
  <c r="H354" i="1"/>
  <c r="G354" i="1"/>
  <c r="H353" i="1"/>
  <c r="H352" i="1"/>
  <c r="G352" i="1"/>
  <c r="H351" i="1"/>
  <c r="G351" i="1"/>
  <c r="H350" i="1"/>
  <c r="H349" i="1"/>
  <c r="G349" i="1"/>
  <c r="H348" i="1"/>
  <c r="H347" i="1"/>
  <c r="G347" i="1"/>
  <c r="H346" i="1"/>
  <c r="H345" i="1"/>
  <c r="G345" i="1"/>
  <c r="H344" i="1"/>
  <c r="G344" i="1"/>
  <c r="H343" i="1"/>
  <c r="H342" i="1"/>
  <c r="G342" i="1"/>
  <c r="H341" i="1"/>
  <c r="G341" i="1"/>
  <c r="H340" i="1"/>
  <c r="G340" i="1"/>
  <c r="H339" i="1"/>
  <c r="G339" i="1"/>
  <c r="H338" i="1"/>
  <c r="G338" i="1"/>
  <c r="H337" i="1"/>
  <c r="G337" i="1"/>
  <c r="H336" i="1"/>
  <c r="H335" i="1"/>
  <c r="G335" i="1"/>
  <c r="H334" i="1"/>
  <c r="G334" i="1"/>
  <c r="H333" i="1"/>
  <c r="G333" i="1"/>
  <c r="H332" i="1"/>
  <c r="H331" i="1"/>
  <c r="G331" i="1"/>
  <c r="H330" i="1"/>
  <c r="H329" i="1"/>
  <c r="G329" i="1"/>
  <c r="H328" i="1"/>
  <c r="G328" i="1"/>
  <c r="H327" i="1"/>
  <c r="H326" i="1"/>
  <c r="G326" i="1"/>
  <c r="H325" i="1"/>
  <c r="G325" i="1"/>
  <c r="H324" i="1"/>
  <c r="G324" i="1"/>
  <c r="H323" i="1"/>
  <c r="H322" i="1"/>
  <c r="G322" i="1"/>
  <c r="H321" i="1"/>
  <c r="G321" i="1"/>
  <c r="H320" i="1"/>
  <c r="H319" i="1"/>
  <c r="G319" i="1"/>
  <c r="H318" i="1"/>
  <c r="G318" i="1"/>
  <c r="H317" i="1"/>
  <c r="H316" i="1"/>
  <c r="G316" i="1"/>
  <c r="H315" i="1"/>
  <c r="G315" i="1"/>
  <c r="H314" i="1"/>
  <c r="G314" i="1"/>
  <c r="H313" i="1"/>
  <c r="G313" i="1"/>
  <c r="H312" i="1"/>
  <c r="H311" i="1"/>
  <c r="G311" i="1"/>
  <c r="H310" i="1"/>
  <c r="G310" i="1"/>
  <c r="H309" i="1"/>
  <c r="G309" i="1"/>
  <c r="H308" i="1"/>
  <c r="H307" i="1"/>
  <c r="G307" i="1"/>
  <c r="H306" i="1"/>
  <c r="H305" i="1"/>
  <c r="G305" i="1"/>
  <c r="H304" i="1"/>
  <c r="G304" i="1"/>
  <c r="H303" i="1"/>
  <c r="H302" i="1"/>
  <c r="G302" i="1"/>
  <c r="H301" i="1"/>
  <c r="H300" i="1"/>
  <c r="G300" i="1"/>
  <c r="H299" i="1"/>
  <c r="G299" i="1"/>
  <c r="H298" i="1"/>
  <c r="H297" i="1"/>
  <c r="H296" i="1"/>
  <c r="G296" i="1"/>
  <c r="H295" i="1"/>
  <c r="G295" i="1"/>
  <c r="H294" i="1"/>
  <c r="G294" i="1"/>
  <c r="H293" i="1"/>
  <c r="H292" i="1"/>
  <c r="H291" i="1"/>
  <c r="G291" i="1"/>
  <c r="H290" i="1"/>
  <c r="G290" i="1"/>
  <c r="H289" i="1"/>
  <c r="G289" i="1"/>
  <c r="H288" i="1"/>
  <c r="H287" i="1"/>
  <c r="G287" i="1"/>
  <c r="H286" i="1"/>
  <c r="G286" i="1"/>
  <c r="H285" i="1"/>
  <c r="G285" i="1"/>
  <c r="H284" i="1"/>
  <c r="G284" i="1"/>
  <c r="H283" i="1"/>
  <c r="H282" i="1"/>
  <c r="G282" i="1"/>
  <c r="H281" i="1"/>
  <c r="H280" i="1"/>
  <c r="G280" i="1"/>
  <c r="H279" i="1"/>
  <c r="G279" i="1"/>
  <c r="H278" i="1"/>
  <c r="H277" i="1"/>
  <c r="G277" i="1"/>
  <c r="H276" i="1"/>
  <c r="G276" i="1"/>
  <c r="H275" i="1"/>
  <c r="H274" i="1"/>
  <c r="G274" i="1"/>
  <c r="H273" i="1"/>
  <c r="H272" i="1"/>
  <c r="G272" i="1"/>
  <c r="H271" i="1"/>
  <c r="G271" i="1"/>
  <c r="H270" i="1"/>
  <c r="G270" i="1"/>
  <c r="H269" i="1"/>
  <c r="G269" i="1"/>
  <c r="H268" i="1"/>
  <c r="G268" i="1"/>
  <c r="H267" i="1"/>
  <c r="G267" i="1"/>
  <c r="H266" i="1"/>
  <c r="G266" i="1"/>
  <c r="H265" i="1"/>
  <c r="G265" i="1"/>
  <c r="H264" i="1"/>
  <c r="G264" i="1"/>
  <c r="H263" i="1"/>
  <c r="H262" i="1"/>
  <c r="H261" i="1"/>
  <c r="G261" i="1"/>
  <c r="H260" i="1"/>
  <c r="G260" i="1"/>
  <c r="H259" i="1"/>
  <c r="G259" i="1"/>
  <c r="H258" i="1"/>
  <c r="H257" i="1"/>
  <c r="H256" i="1"/>
  <c r="G256" i="1"/>
  <c r="H255" i="1"/>
  <c r="G255" i="1"/>
  <c r="H254" i="1"/>
  <c r="G254" i="1"/>
  <c r="H253" i="1"/>
  <c r="H252" i="1"/>
  <c r="H251" i="1"/>
  <c r="G251" i="1"/>
  <c r="H250" i="1"/>
  <c r="G250" i="1"/>
  <c r="H249" i="1"/>
  <c r="G249" i="1"/>
  <c r="H248" i="1"/>
  <c r="G248" i="1"/>
  <c r="H247" i="1"/>
  <c r="G247" i="1"/>
  <c r="H246" i="1"/>
  <c r="H245" i="1"/>
  <c r="H244" i="1"/>
  <c r="G244" i="1"/>
  <c r="H243" i="1"/>
  <c r="H242" i="1"/>
  <c r="G242" i="1"/>
  <c r="H241" i="1"/>
  <c r="G241" i="1"/>
  <c r="H240" i="1"/>
  <c r="G240" i="1"/>
  <c r="H239" i="1"/>
  <c r="G239" i="1"/>
  <c r="H238" i="1"/>
  <c r="H237" i="1"/>
  <c r="G237" i="1"/>
  <c r="H236" i="1"/>
  <c r="G236" i="1"/>
  <c r="H235" i="1"/>
  <c r="H234" i="1"/>
  <c r="G234" i="1"/>
  <c r="H233" i="1"/>
  <c r="H232" i="1"/>
  <c r="G232" i="1"/>
  <c r="H231" i="1"/>
  <c r="G231" i="1"/>
  <c r="H230" i="1"/>
  <c r="G230" i="1"/>
  <c r="H229" i="1"/>
  <c r="G229" i="1"/>
  <c r="H228" i="1"/>
  <c r="H227" i="1"/>
  <c r="G227" i="1"/>
  <c r="H226" i="1"/>
  <c r="G226" i="1"/>
  <c r="H225" i="1"/>
  <c r="G225" i="1"/>
  <c r="H224" i="1"/>
  <c r="G224" i="1"/>
  <c r="H223" i="1"/>
  <c r="G223" i="1"/>
  <c r="H222" i="1"/>
  <c r="G222" i="1"/>
  <c r="H221" i="1"/>
  <c r="G221" i="1"/>
  <c r="H220" i="1"/>
  <c r="G220" i="1"/>
  <c r="H219" i="1"/>
  <c r="G219" i="1"/>
  <c r="H218" i="1"/>
  <c r="H217" i="1"/>
  <c r="H216" i="1"/>
  <c r="G216" i="1"/>
  <c r="H215" i="1"/>
  <c r="G215" i="1"/>
  <c r="H214" i="1"/>
  <c r="G214" i="1"/>
  <c r="H213" i="1"/>
  <c r="H212" i="1"/>
  <c r="G212" i="1"/>
  <c r="H211" i="1"/>
  <c r="G211" i="1"/>
  <c r="H210" i="1"/>
  <c r="H209" i="1"/>
  <c r="G209" i="1"/>
  <c r="H208" i="1"/>
  <c r="G208" i="1"/>
  <c r="H207" i="1"/>
  <c r="G207" i="1"/>
  <c r="H206" i="1"/>
  <c r="G206" i="1"/>
  <c r="H205" i="1"/>
  <c r="G205" i="1"/>
  <c r="H204" i="1"/>
  <c r="G204" i="1"/>
  <c r="H203" i="1"/>
  <c r="H202" i="1"/>
  <c r="G202" i="1"/>
  <c r="H201" i="1"/>
  <c r="G201" i="1"/>
  <c r="H200" i="1"/>
  <c r="G200" i="1"/>
  <c r="H199" i="1"/>
  <c r="G199" i="1"/>
  <c r="H198" i="1"/>
  <c r="H197" i="1"/>
  <c r="G197" i="1"/>
  <c r="H196" i="1"/>
  <c r="G196" i="1"/>
  <c r="H195" i="1"/>
  <c r="H194" i="1"/>
  <c r="G194" i="1"/>
  <c r="H193" i="1"/>
  <c r="H192" i="1"/>
  <c r="G192" i="1"/>
  <c r="H191" i="1"/>
  <c r="H190" i="1"/>
  <c r="G190" i="1"/>
  <c r="H189" i="1"/>
  <c r="G189" i="1"/>
  <c r="H188" i="1"/>
  <c r="H187" i="1"/>
  <c r="G187" i="1"/>
  <c r="H186" i="1"/>
  <c r="G186" i="1"/>
  <c r="H185" i="1"/>
  <c r="H184" i="1"/>
  <c r="G184" i="1"/>
  <c r="H183" i="1"/>
  <c r="H182" i="1"/>
  <c r="G182" i="1"/>
  <c r="H181" i="1"/>
  <c r="G181" i="1"/>
  <c r="H180" i="1"/>
  <c r="G180" i="1"/>
  <c r="H179" i="1"/>
  <c r="G179" i="1"/>
  <c r="H178" i="1"/>
  <c r="H177" i="1"/>
  <c r="G177" i="1"/>
  <c r="H176" i="1"/>
  <c r="G176" i="1"/>
  <c r="H175" i="1"/>
  <c r="G175" i="1"/>
  <c r="H174" i="1"/>
  <c r="G174" i="1"/>
  <c r="H173" i="1"/>
  <c r="H172" i="1"/>
  <c r="H171" i="1"/>
  <c r="G171" i="1"/>
  <c r="H170" i="1"/>
  <c r="G170" i="1"/>
  <c r="H169" i="1"/>
  <c r="G169" i="1"/>
  <c r="H168" i="1"/>
  <c r="H167" i="1"/>
  <c r="G167" i="1"/>
  <c r="H166" i="1"/>
  <c r="G166" i="1"/>
  <c r="H165" i="1"/>
  <c r="H164" i="1"/>
  <c r="G164" i="1"/>
  <c r="H163" i="1"/>
  <c r="H162" i="1"/>
  <c r="G162" i="1"/>
  <c r="H161" i="1"/>
  <c r="G161" i="1"/>
  <c r="H160" i="1"/>
  <c r="H159" i="1"/>
  <c r="G159" i="1"/>
  <c r="H158" i="1"/>
  <c r="H157" i="1"/>
  <c r="G157" i="1"/>
  <c r="H156" i="1"/>
  <c r="G156" i="1"/>
  <c r="H155" i="1"/>
  <c r="H154" i="1"/>
  <c r="G154" i="1"/>
  <c r="H153" i="1"/>
  <c r="H152" i="1"/>
  <c r="G152" i="1"/>
  <c r="H151" i="1"/>
  <c r="H150" i="1"/>
  <c r="G150" i="1"/>
  <c r="H149" i="1"/>
  <c r="G149" i="1"/>
  <c r="H148" i="1"/>
  <c r="H147" i="1"/>
  <c r="H146" i="1"/>
  <c r="G146" i="1"/>
  <c r="H145" i="1"/>
  <c r="G145" i="1"/>
  <c r="H144" i="1"/>
  <c r="G144" i="1"/>
  <c r="H143" i="1"/>
  <c r="H142" i="1"/>
  <c r="H141" i="1"/>
  <c r="G141" i="1"/>
  <c r="H140" i="1"/>
  <c r="G140" i="1"/>
  <c r="H139" i="1"/>
  <c r="G139" i="1"/>
  <c r="H138" i="1"/>
  <c r="H137" i="1"/>
  <c r="G137" i="1"/>
  <c r="H136" i="1"/>
  <c r="G136" i="1"/>
  <c r="H135" i="1"/>
  <c r="G135" i="1"/>
  <c r="H134" i="1"/>
  <c r="G134" i="1"/>
  <c r="H133" i="1"/>
  <c r="H132" i="1"/>
  <c r="G132" i="1"/>
  <c r="H131" i="1"/>
  <c r="G131" i="1"/>
  <c r="H130" i="1"/>
  <c r="G130" i="1"/>
  <c r="H129" i="1"/>
  <c r="G129" i="1"/>
  <c r="H128" i="1"/>
  <c r="H127" i="1"/>
  <c r="G127" i="1"/>
  <c r="H126" i="1"/>
  <c r="H125" i="1"/>
  <c r="G125" i="1"/>
  <c r="H124" i="1"/>
  <c r="G124" i="1"/>
  <c r="H123" i="1"/>
  <c r="H122" i="1"/>
  <c r="G122" i="1"/>
  <c r="H121" i="1"/>
  <c r="G121" i="1"/>
  <c r="H120" i="1"/>
  <c r="G120" i="1"/>
  <c r="H119" i="1"/>
  <c r="G119" i="1"/>
  <c r="H118" i="1"/>
  <c r="H117" i="1"/>
  <c r="G117" i="1"/>
  <c r="H116" i="1"/>
  <c r="G116" i="1"/>
  <c r="H115" i="1"/>
  <c r="G115" i="1"/>
  <c r="H114" i="1"/>
  <c r="G114" i="1"/>
  <c r="H113" i="1"/>
  <c r="G113" i="1"/>
  <c r="H112" i="1"/>
  <c r="G112" i="1"/>
  <c r="H111" i="1"/>
  <c r="H110" i="1"/>
  <c r="G110" i="1"/>
  <c r="H109" i="1"/>
  <c r="G109" i="1"/>
  <c r="H108" i="1"/>
  <c r="H107" i="1"/>
  <c r="G107" i="1"/>
  <c r="H106" i="1"/>
  <c r="G106" i="1"/>
  <c r="H105" i="1"/>
  <c r="H104" i="1"/>
  <c r="G104" i="1"/>
  <c r="H103" i="1"/>
  <c r="H102" i="1"/>
  <c r="H101" i="1"/>
  <c r="G101" i="1"/>
  <c r="H100" i="1"/>
  <c r="G100" i="1"/>
  <c r="H99" i="1"/>
  <c r="G99" i="1"/>
  <c r="H98" i="1"/>
  <c r="G98" i="1"/>
  <c r="H97" i="1"/>
  <c r="H96" i="1"/>
  <c r="G96" i="1"/>
  <c r="H95" i="1"/>
  <c r="G95" i="1"/>
  <c r="H94" i="1"/>
  <c r="G94" i="1"/>
  <c r="H93" i="1"/>
  <c r="H92" i="1"/>
  <c r="G92" i="1"/>
  <c r="H91" i="1"/>
  <c r="G91" i="1"/>
  <c r="H90" i="1"/>
  <c r="G90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H82" i="1"/>
  <c r="G82" i="1"/>
  <c r="H81" i="1"/>
  <c r="G81" i="1"/>
  <c r="H80" i="1"/>
  <c r="G80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H72" i="1"/>
  <c r="G72" i="1"/>
  <c r="H71" i="1"/>
  <c r="H70" i="1"/>
  <c r="G70" i="1"/>
  <c r="H69" i="1"/>
  <c r="G69" i="1"/>
  <c r="H68" i="1"/>
  <c r="H67" i="1"/>
  <c r="G67" i="1"/>
  <c r="H66" i="1"/>
  <c r="H65" i="1"/>
  <c r="G65" i="1"/>
  <c r="H64" i="1"/>
  <c r="G64" i="1"/>
  <c r="H63" i="1"/>
  <c r="H62" i="1"/>
  <c r="G62" i="1"/>
  <c r="H61" i="1"/>
  <c r="G61" i="1"/>
  <c r="H60" i="1"/>
  <c r="G60" i="1"/>
  <c r="H59" i="1"/>
  <c r="G59" i="1"/>
  <c r="H58" i="1"/>
  <c r="H57" i="1"/>
  <c r="G57" i="1"/>
  <c r="H56" i="1"/>
  <c r="G56" i="1"/>
  <c r="H55" i="1"/>
  <c r="G55" i="1"/>
  <c r="H54" i="1"/>
  <c r="G54" i="1"/>
  <c r="H53" i="1"/>
  <c r="H52" i="1"/>
  <c r="G52" i="1"/>
  <c r="H51" i="1"/>
  <c r="H50" i="1"/>
  <c r="G50" i="1"/>
  <c r="H49" i="1"/>
  <c r="G49" i="1"/>
  <c r="H48" i="1"/>
  <c r="H47" i="1"/>
  <c r="H46" i="1"/>
  <c r="G46" i="1"/>
  <c r="H45" i="1"/>
  <c r="G45" i="1"/>
  <c r="H44" i="1"/>
  <c r="G44" i="1"/>
  <c r="H43" i="1"/>
  <c r="H42" i="1"/>
  <c r="G42" i="1"/>
  <c r="H41" i="1"/>
  <c r="H40" i="1"/>
  <c r="G40" i="1"/>
  <c r="H39" i="1"/>
  <c r="G39" i="1"/>
  <c r="H38" i="1"/>
  <c r="H37" i="1"/>
  <c r="G37" i="1"/>
  <c r="H36" i="1"/>
  <c r="G36" i="1"/>
  <c r="H35" i="1"/>
  <c r="G35" i="1"/>
  <c r="H34" i="1"/>
  <c r="G34" i="1"/>
  <c r="H33" i="1"/>
  <c r="H32" i="1"/>
  <c r="G32" i="1"/>
  <c r="H31" i="1"/>
  <c r="G31" i="1"/>
  <c r="H30" i="1"/>
  <c r="G30" i="1"/>
  <c r="H29" i="1"/>
  <c r="G29" i="1"/>
  <c r="H28" i="1"/>
  <c r="H27" i="1"/>
  <c r="G27" i="1"/>
  <c r="H26" i="1"/>
  <c r="G26" i="1"/>
  <c r="H25" i="1"/>
  <c r="G25" i="1"/>
  <c r="H24" i="1"/>
  <c r="G24" i="1"/>
  <c r="H23" i="1"/>
  <c r="H22" i="1"/>
  <c r="G22" i="1"/>
  <c r="H21" i="1"/>
  <c r="G21" i="1"/>
  <c r="H20" i="1"/>
  <c r="G20" i="1"/>
  <c r="H19" i="1"/>
  <c r="G19" i="1"/>
  <c r="H18" i="1"/>
  <c r="H17" i="1"/>
  <c r="G17" i="1"/>
  <c r="H16" i="1"/>
  <c r="H15" i="1"/>
  <c r="G15" i="1"/>
  <c r="H14" i="1"/>
  <c r="G14" i="1"/>
  <c r="H13" i="1"/>
  <c r="H12" i="1"/>
  <c r="H11" i="1"/>
  <c r="G11" i="1"/>
  <c r="H10" i="1"/>
  <c r="G10" i="1"/>
  <c r="H9" i="1"/>
  <c r="G9" i="1"/>
  <c r="H8" i="1"/>
  <c r="H7" i="1"/>
  <c r="G7" i="1"/>
  <c r="K2" i="1"/>
</calcChain>
</file>

<file path=xl/sharedStrings.xml><?xml version="1.0" encoding="utf-8"?>
<sst xmlns="http://schemas.openxmlformats.org/spreadsheetml/2006/main" count="4391" uniqueCount="2354">
  <si>
    <t>除外曲 455曲</t>
  </si>
  <si>
    <t>追加希望</t>
  </si>
  <si>
    <t>追加したい曲は「追加希望」列のチェックボックスをクリックしてください。</t>
  </si>
  <si>
    <t>発売日は歌ネット掲載値。初出日とは異なる再発売日が使われている場合があります。</t>
  </si>
  <si>
    <t>元順位</t>
  </si>
  <si>
    <t>曲名</t>
  </si>
  <si>
    <t>アーティスト</t>
  </si>
  <si>
    <t>掲載発売日</t>
  </si>
  <si>
    <t>除外理由</t>
  </si>
  <si>
    <t>追加時の段位</t>
  </si>
  <si>
    <t>曲ページ</t>
  </si>
  <si>
    <t>キセキ</t>
  </si>
  <si>
    <t>GReeeeN</t>
  </si>
  <si>
    <t>2010年より前</t>
  </si>
  <si>
    <t>奏(かなで)</t>
  </si>
  <si>
    <t>スキマスイッチ</t>
  </si>
  <si>
    <t>小さな恋のうた</t>
  </si>
  <si>
    <t>MONGOL800</t>
  </si>
  <si>
    <t>HANABI</t>
  </si>
  <si>
    <t>Mr.Children</t>
  </si>
  <si>
    <t>糸</t>
  </si>
  <si>
    <t>中島みゆき</t>
  </si>
  <si>
    <t>3月9日</t>
  </si>
  <si>
    <t>レミオロメン</t>
  </si>
  <si>
    <t>チェリー</t>
  </si>
  <si>
    <t>スピッツ</t>
  </si>
  <si>
    <t>サウダージ</t>
  </si>
  <si>
    <t>ポルノグラフィティ</t>
  </si>
  <si>
    <t>うれしいひなまつり</t>
  </si>
  <si>
    <t>童謡・唱歌</t>
  </si>
  <si>
    <t>愛のかたまり</t>
  </si>
  <si>
    <t>DOMOTO</t>
  </si>
  <si>
    <t>YELL</t>
  </si>
  <si>
    <t>いきものがかり</t>
  </si>
  <si>
    <t>アンパンマンのマーチ</t>
  </si>
  <si>
    <t>ドリーミング</t>
  </si>
  <si>
    <t>手紙 ～拝啓 十五の君へ～</t>
  </si>
  <si>
    <t>アンジェラ・アキ</t>
  </si>
  <si>
    <t>ブルーバード</t>
  </si>
  <si>
    <t>栄光の架橋</t>
  </si>
  <si>
    <t>ゆず</t>
  </si>
  <si>
    <t>さくら(独唱)</t>
  </si>
  <si>
    <t>森山直太朗</t>
  </si>
  <si>
    <t>遥か</t>
  </si>
  <si>
    <t>Love so sweet</t>
  </si>
  <si>
    <t>嵐</t>
  </si>
  <si>
    <t>me me she</t>
  </si>
  <si>
    <t>RADWIMPS</t>
  </si>
  <si>
    <t>愛唄</t>
  </si>
  <si>
    <t>道</t>
  </si>
  <si>
    <t>EXILE</t>
  </si>
  <si>
    <t>One Love</t>
  </si>
  <si>
    <t>A・RA・SHI</t>
  </si>
  <si>
    <t>三日月</t>
  </si>
  <si>
    <t>絢香</t>
  </si>
  <si>
    <t>NAO</t>
  </si>
  <si>
    <t>HY</t>
  </si>
  <si>
    <t>Story</t>
  </si>
  <si>
    <t>AI</t>
  </si>
  <si>
    <t>愛をこめて花束を</t>
  </si>
  <si>
    <t>Superfly</t>
  </si>
  <si>
    <t>木綿のハンカチーフ</t>
  </si>
  <si>
    <t>太田裕美</t>
  </si>
  <si>
    <t>全力少年</t>
  </si>
  <si>
    <t>COSMOS</t>
  </si>
  <si>
    <t>合唱</t>
  </si>
  <si>
    <t>未来予想図II</t>
  </si>
  <si>
    <t>DREAMS COME TRUE</t>
  </si>
  <si>
    <t>ふたりごと</t>
  </si>
  <si>
    <t>天体観測</t>
  </si>
  <si>
    <t>BUMP OF CHICKEN</t>
  </si>
  <si>
    <t>赤い糸</t>
  </si>
  <si>
    <t>コブクロ</t>
  </si>
  <si>
    <t>Butterfly</t>
  </si>
  <si>
    <t>木村カエラ</t>
  </si>
  <si>
    <t>旅立ちの日に</t>
  </si>
  <si>
    <t>春夏秋冬</t>
  </si>
  <si>
    <t>Hilcrhyme</t>
  </si>
  <si>
    <t>やさしさで溢れるように</t>
  </si>
  <si>
    <t>JUJU</t>
  </si>
  <si>
    <t>最後の雨</t>
  </si>
  <si>
    <t>中西保志</t>
  </si>
  <si>
    <t>First Love</t>
  </si>
  <si>
    <t>宇多田ヒカル</t>
  </si>
  <si>
    <t>アゲハ蝶</t>
  </si>
  <si>
    <t>カブトムシ</t>
  </si>
  <si>
    <t>aiko</t>
  </si>
  <si>
    <t>真夏の果実</t>
  </si>
  <si>
    <t>サザンオールスターズ</t>
  </si>
  <si>
    <t>有心論</t>
  </si>
  <si>
    <t>Best Friend</t>
  </si>
  <si>
    <t>Kiroro</t>
  </si>
  <si>
    <t>Happiness</t>
  </si>
  <si>
    <t>Butter-Fly</t>
  </si>
  <si>
    <t>和田光司</t>
  </si>
  <si>
    <t>ふるさと</t>
  </si>
  <si>
    <t>森のくまさん</t>
  </si>
  <si>
    <t>ハナミズキ</t>
  </si>
  <si>
    <t>一青窈</t>
  </si>
  <si>
    <t>花</t>
  </si>
  <si>
    <t>ORANGE RANGE</t>
  </si>
  <si>
    <t>やさしいキスをして</t>
  </si>
  <si>
    <t>ロビンソン</t>
  </si>
  <si>
    <t>恋におちて-Fall in Love-</t>
  </si>
  <si>
    <t>小林明子</t>
  </si>
  <si>
    <t>涙そうそう</t>
  </si>
  <si>
    <t>夏川りみ</t>
  </si>
  <si>
    <t>虹</t>
  </si>
  <si>
    <t>二宮和也(嵐)</t>
  </si>
  <si>
    <t>純恋歌</t>
  </si>
  <si>
    <t>湘南乃風</t>
  </si>
  <si>
    <t>睡蓮花</t>
  </si>
  <si>
    <t>Believe</t>
  </si>
  <si>
    <t>紅葉(もみじ)</t>
  </si>
  <si>
    <t>赤いスイートピー</t>
  </si>
  <si>
    <t>松田聖子</t>
  </si>
  <si>
    <t>キミがいれば</t>
  </si>
  <si>
    <t>伊織</t>
  </si>
  <si>
    <t>雪の華</t>
  </si>
  <si>
    <t>中島美嘉</t>
  </si>
  <si>
    <t>たなばたさま</t>
  </si>
  <si>
    <t>天城越え</t>
  </si>
  <si>
    <t>石川さゆり</t>
  </si>
  <si>
    <t>貴方の恋人になりたいのです</t>
  </si>
  <si>
    <t>阿部真央</t>
  </si>
  <si>
    <t>おジャ魔女カーニバル!!</t>
  </si>
  <si>
    <t>MAHO堂</t>
  </si>
  <si>
    <t>シングルベッド</t>
  </si>
  <si>
    <t>シャ乱Q</t>
  </si>
  <si>
    <t>粉雪</t>
  </si>
  <si>
    <t>津軽海峡・冬景色</t>
  </si>
  <si>
    <t>Aqua Timez</t>
  </si>
  <si>
    <t>空も飛べるはず</t>
  </si>
  <si>
    <t>ultra soul</t>
  </si>
  <si>
    <t>B'z</t>
  </si>
  <si>
    <t>時代</t>
  </si>
  <si>
    <t>しるし</t>
  </si>
  <si>
    <t>こいのぼり</t>
  </si>
  <si>
    <t>終わりなき旅</t>
  </si>
  <si>
    <t>世界に一つだけの花</t>
  </si>
  <si>
    <t>SMAP</t>
  </si>
  <si>
    <t>創聖のアクエリオン</t>
  </si>
  <si>
    <t>AKINO</t>
  </si>
  <si>
    <t>手のひらを太陽に</t>
  </si>
  <si>
    <t>Still...</t>
  </si>
  <si>
    <t>愛のうた</t>
  </si>
  <si>
    <t>ストロベリー・フラワー</t>
  </si>
  <si>
    <t>あわてんぼうのサンタクロース</t>
  </si>
  <si>
    <t>クリスマスソング</t>
  </si>
  <si>
    <t>TSUNAMI</t>
  </si>
  <si>
    <t>負けないで</t>
  </si>
  <si>
    <t>ZARD</t>
  </si>
  <si>
    <t>丸の内サディスティック</t>
  </si>
  <si>
    <t>椎名林檎</t>
  </si>
  <si>
    <t>もっと…</t>
  </si>
  <si>
    <t>西野カナ</t>
  </si>
  <si>
    <t>さくら</t>
  </si>
  <si>
    <t>ケツメイシ</t>
  </si>
  <si>
    <t>なごり雪</t>
  </si>
  <si>
    <t>イルカ</t>
  </si>
  <si>
    <t>人生の扉</t>
  </si>
  <si>
    <t>竹内まりや</t>
  </si>
  <si>
    <t>いいんですか？</t>
  </si>
  <si>
    <t>Dear…</t>
  </si>
  <si>
    <t>明日晴れるかな</t>
  </si>
  <si>
    <t>桑田佳祐</t>
  </si>
  <si>
    <t>Sign</t>
  </si>
  <si>
    <t>クリスマス・イブ</t>
  </si>
  <si>
    <t>山下達郎</t>
  </si>
  <si>
    <t>楓</t>
  </si>
  <si>
    <t>白い恋人達</t>
  </si>
  <si>
    <t>いつも何度でも</t>
  </si>
  <si>
    <t>木村弓</t>
  </si>
  <si>
    <t>青春アミーゴ</t>
  </si>
  <si>
    <t>修二と彰</t>
  </si>
  <si>
    <t>気まぐれロマンティック</t>
  </si>
  <si>
    <t>蕾</t>
  </si>
  <si>
    <t>駅</t>
  </si>
  <si>
    <t>AM11:00</t>
  </si>
  <si>
    <t>ボクノート</t>
  </si>
  <si>
    <t>残酷な天使のテーゼ</t>
  </si>
  <si>
    <t>高橋洋子</t>
  </si>
  <si>
    <t>君をのせて</t>
  </si>
  <si>
    <t>井上あずみ</t>
  </si>
  <si>
    <t>倖田來未</t>
  </si>
  <si>
    <t>名もなき詩</t>
  </si>
  <si>
    <t>もう恋なんてしない</t>
  </si>
  <si>
    <t>槇原敬之</t>
  </si>
  <si>
    <t>旅立ちの日に…</t>
  </si>
  <si>
    <t>川嶋あい</t>
  </si>
  <si>
    <t>赤鼻のトナカイ</t>
  </si>
  <si>
    <t>世界が終るまでは…</t>
  </si>
  <si>
    <t>WANDS</t>
  </si>
  <si>
    <t>時の旅人</t>
  </si>
  <si>
    <t>たしかなこと</t>
  </si>
  <si>
    <t>小田和正</t>
  </si>
  <si>
    <t>赤とんぼ</t>
  </si>
  <si>
    <t>千の夜をこえて</t>
  </si>
  <si>
    <t>銀河鉄道999</t>
  </si>
  <si>
    <t>ゴダイゴ</t>
  </si>
  <si>
    <t>みんな空の下</t>
  </si>
  <si>
    <t>どんぐりころころ</t>
  </si>
  <si>
    <t>Love Forever</t>
  </si>
  <si>
    <t>加藤ミリヤ×清水翔太</t>
  </si>
  <si>
    <t>05410-(ん)</t>
  </si>
  <si>
    <t>大きな古時計</t>
  </si>
  <si>
    <t>幸福論</t>
  </si>
  <si>
    <t>ファイト！</t>
  </si>
  <si>
    <t>CHE.R.RY</t>
  </si>
  <si>
    <t>YUI</t>
  </si>
  <si>
    <t>truth</t>
  </si>
  <si>
    <t>ORION</t>
  </si>
  <si>
    <t>GIFT</t>
  </si>
  <si>
    <t>愛燦燦</t>
  </si>
  <si>
    <t>美空ひばり</t>
  </si>
  <si>
    <t>Aitai</t>
  </si>
  <si>
    <t>加藤ミリヤ</t>
  </si>
  <si>
    <t>タッチ</t>
  </si>
  <si>
    <t>岩崎良美</t>
  </si>
  <si>
    <t>月光花</t>
  </si>
  <si>
    <t>Janne Da Arc</t>
  </si>
  <si>
    <t>Real Face</t>
  </si>
  <si>
    <t>KAT-TUN</t>
  </si>
  <si>
    <t>メリッサ</t>
  </si>
  <si>
    <t>地上の星</t>
  </si>
  <si>
    <t>ゆき</t>
  </si>
  <si>
    <t>I LOVE YOU</t>
  </si>
  <si>
    <t>尾崎豊</t>
  </si>
  <si>
    <t>テルーの唄</t>
  </si>
  <si>
    <t>手嶌葵</t>
  </si>
  <si>
    <t>花火</t>
  </si>
  <si>
    <t>5×10</t>
  </si>
  <si>
    <t>やさしさに包まれたなら</t>
  </si>
  <si>
    <t>松任谷由実</t>
  </si>
  <si>
    <t>おしゃかしゃま</t>
  </si>
  <si>
    <t>Ti Amo</t>
  </si>
  <si>
    <t>異邦人</t>
  </si>
  <si>
    <t>久保田早紀</t>
  </si>
  <si>
    <t>青いベンチ</t>
  </si>
  <si>
    <t>サスケ</t>
  </si>
  <si>
    <t>オレンジ</t>
  </si>
  <si>
    <t>君の知らない物語</t>
  </si>
  <si>
    <t>supercell</t>
  </si>
  <si>
    <t>Tomorrow never knows</t>
  </si>
  <si>
    <t>Song for…</t>
  </si>
  <si>
    <t>キラキラ</t>
  </si>
  <si>
    <t>君の好きなうた</t>
  </si>
  <si>
    <t>UVERworld</t>
  </si>
  <si>
    <t>うさぎとかめ</t>
  </si>
  <si>
    <t>夢をかなえてドラえもん</t>
  </si>
  <si>
    <t>mao</t>
  </si>
  <si>
    <t>マイ バラード</t>
  </si>
  <si>
    <t>浪漫飛行</t>
  </si>
  <si>
    <t>米米CLUB</t>
  </si>
  <si>
    <t>韻波句徒</t>
  </si>
  <si>
    <t>CHEHON</t>
  </si>
  <si>
    <t>ぼくドラえもん</t>
  </si>
  <si>
    <t>大山のぶ代</t>
  </si>
  <si>
    <t>One more time,One more chance</t>
  </si>
  <si>
    <t>山崎まさよし</t>
  </si>
  <si>
    <t>SEASONS</t>
  </si>
  <si>
    <t>浜崎あゆみ</t>
  </si>
  <si>
    <t>カルマ</t>
  </si>
  <si>
    <t>プラネタリウム</t>
  </si>
  <si>
    <t>大塚愛</t>
  </si>
  <si>
    <t>夜空ノムコウ</t>
  </si>
  <si>
    <t>最大公約数</t>
  </si>
  <si>
    <t>瞳をとじて</t>
  </si>
  <si>
    <t>平井堅</t>
  </si>
  <si>
    <t>そばにいるね</t>
  </si>
  <si>
    <t>青山テルマ feat.SoulJa</t>
  </si>
  <si>
    <t>あんたがたどこさ</t>
  </si>
  <si>
    <t>ドラえもんのうた</t>
  </si>
  <si>
    <t>大杉久美子</t>
  </si>
  <si>
    <t>桜</t>
  </si>
  <si>
    <t>メロディー</t>
  </si>
  <si>
    <t>玉置浩二</t>
  </si>
  <si>
    <t>はたらくくるま1</t>
  </si>
  <si>
    <t>のこいのこ</t>
  </si>
  <si>
    <t>見上げてごらん夜の星を</t>
  </si>
  <si>
    <t>坂本九</t>
  </si>
  <si>
    <t>となりのトトロ</t>
  </si>
  <si>
    <t>めざせポケモンマスター</t>
  </si>
  <si>
    <t>松本梨香</t>
  </si>
  <si>
    <t>儚くも永久のカナシ</t>
  </si>
  <si>
    <t>イチブトゼンブ</t>
  </si>
  <si>
    <t>島人ぬ宝</t>
  </si>
  <si>
    <t>BEGIN</t>
  </si>
  <si>
    <t>ボーイフレンド</t>
  </si>
  <si>
    <t>銀の龍の背に乗って</t>
  </si>
  <si>
    <t>いとしのエリー</t>
  </si>
  <si>
    <t>ロード</t>
  </si>
  <si>
    <t>THE 虎舞竜</t>
  </si>
  <si>
    <t>宇宙戦艦ヤマト</t>
  </si>
  <si>
    <t>ささきいさお</t>
  </si>
  <si>
    <t>夏の思い出</t>
  </si>
  <si>
    <t>月光</t>
  </si>
  <si>
    <t>鬼束ちひろ</t>
  </si>
  <si>
    <t>SAYONARAベイベー</t>
  </si>
  <si>
    <t>卒業</t>
  </si>
  <si>
    <t>歩み</t>
  </si>
  <si>
    <t>本能</t>
  </si>
  <si>
    <t>Flavor Of Life</t>
  </si>
  <si>
    <t>サザエさん</t>
  </si>
  <si>
    <t>宇野ゆう子</t>
  </si>
  <si>
    <t>カントリー・ロード</t>
  </si>
  <si>
    <t>本名陽子</t>
  </si>
  <si>
    <t>島唄</t>
  </si>
  <si>
    <t>THE BOOM</t>
  </si>
  <si>
    <t>告白</t>
  </si>
  <si>
    <t>FUNKY MONKEY BABYS</t>
  </si>
  <si>
    <t>春よ、来い</t>
  </si>
  <si>
    <t>ココロオドル</t>
  </si>
  <si>
    <t>nobodyknows+</t>
  </si>
  <si>
    <t>扉</t>
  </si>
  <si>
    <t>ポケモン言えるかな？</t>
  </si>
  <si>
    <t>イマクニ？</t>
  </si>
  <si>
    <t>勇気100％</t>
  </si>
  <si>
    <t>光GENJI</t>
  </si>
  <si>
    <t>ラヴ・イズ・オーヴァー</t>
  </si>
  <si>
    <t>欧陽菲菲</t>
  </si>
  <si>
    <t>星に願いを</t>
  </si>
  <si>
    <t>flumpool</t>
  </si>
  <si>
    <t>さくらんぼ</t>
  </si>
  <si>
    <t>勇気りんりん</t>
  </si>
  <si>
    <t>secret base～君がくれたもの～</t>
  </si>
  <si>
    <t>ZONE</t>
  </si>
  <si>
    <t>逢いたくていま</t>
  </si>
  <si>
    <t>MISIA</t>
  </si>
  <si>
    <t>上を向いて歩こう</t>
  </si>
  <si>
    <t>少年時代</t>
  </si>
  <si>
    <t>井上陽水</t>
  </si>
  <si>
    <t>大阪LOVER</t>
  </si>
  <si>
    <t>ラジオ体操の歌</t>
  </si>
  <si>
    <t>ラブ・ストーリーは突然に</t>
  </si>
  <si>
    <t>サクラ咲ケ</t>
  </si>
  <si>
    <t>宙船(そらふね)</t>
  </si>
  <si>
    <t>TOKIO</t>
  </si>
  <si>
    <t>HERO</t>
  </si>
  <si>
    <t>仰げば尊し</t>
  </si>
  <si>
    <t>線路は続くよどこまでも</t>
  </si>
  <si>
    <t>夏色</t>
  </si>
  <si>
    <t>硝子の少年</t>
  </si>
  <si>
    <t>HOT LIMIT</t>
  </si>
  <si>
    <t>T.M.Revolution</t>
  </si>
  <si>
    <t>いのちの名前</t>
  </si>
  <si>
    <t>お正月</t>
  </si>
  <si>
    <t>メリクリ</t>
  </si>
  <si>
    <t>BoA</t>
  </si>
  <si>
    <t>うみ</t>
  </si>
  <si>
    <t>人にやさしく</t>
  </si>
  <si>
    <t>THE BLUE HEARTS</t>
  </si>
  <si>
    <t>種のうた</t>
  </si>
  <si>
    <t>オー・シャンゼリゼ</t>
  </si>
  <si>
    <t>ピーター</t>
  </si>
  <si>
    <t>桃太郎</t>
  </si>
  <si>
    <t>LOVE AFFAIR ～秘密のデート</t>
  </si>
  <si>
    <t>LOVE LOVE LOVE</t>
  </si>
  <si>
    <t>fragile</t>
  </si>
  <si>
    <t>Every Little Thing</t>
  </si>
  <si>
    <t>情熱の薔薇</t>
  </si>
  <si>
    <t>SUMMER SONG</t>
  </si>
  <si>
    <t>歌うたいのバラッド</t>
  </si>
  <si>
    <t>斉藤和義</t>
  </si>
  <si>
    <t>俺ら東京さ行ぐだ</t>
  </si>
  <si>
    <t>吉幾三</t>
  </si>
  <si>
    <t>春の歌</t>
  </si>
  <si>
    <t>ライオン</t>
  </si>
  <si>
    <t>May'n / 中島愛</t>
  </si>
  <si>
    <t>innocent world</t>
  </si>
  <si>
    <t>黒毛和牛上塩タン焼680円</t>
  </si>
  <si>
    <t>milk</t>
  </si>
  <si>
    <t>Everything</t>
  </si>
  <si>
    <t>TRAIN-TRAIN</t>
  </si>
  <si>
    <t>変わらないもの</t>
  </si>
  <si>
    <t>奥華子</t>
  </si>
  <si>
    <t>HOWEVER</t>
  </si>
  <si>
    <t>GLAY</t>
  </si>
  <si>
    <t>遠くても feat.WISE</t>
  </si>
  <si>
    <t>また君に恋してる</t>
  </si>
  <si>
    <t>坂本冬美</t>
  </si>
  <si>
    <t>Lifetime Respect</t>
  </si>
  <si>
    <t>三木道三</t>
  </si>
  <si>
    <t>if...</t>
  </si>
  <si>
    <t>DA PUMP</t>
  </si>
  <si>
    <t>セプテンバーさん</t>
  </si>
  <si>
    <t>だんご3兄弟</t>
  </si>
  <si>
    <t>茂森あゆみ・速水けんたろう</t>
  </si>
  <si>
    <t>アポロ</t>
  </si>
  <si>
    <t>おべんとうばこのうた</t>
  </si>
  <si>
    <t>恋のメガラバ</t>
  </si>
  <si>
    <t>マキシマム ザ ホルモン</t>
  </si>
  <si>
    <t>CAN YOU CELEBRATE?</t>
  </si>
  <si>
    <t>安室奈美恵</t>
  </si>
  <si>
    <t>ルビーの指環</t>
  </si>
  <si>
    <t>寺尾聰</t>
  </si>
  <si>
    <t>エソラ</t>
  </si>
  <si>
    <t>Lovers Again</t>
  </si>
  <si>
    <t>イケナイ太陽</t>
  </si>
  <si>
    <t>とんぼ</t>
  </si>
  <si>
    <t>長渕剛</t>
  </si>
  <si>
    <t>トレモロ</t>
  </si>
  <si>
    <t>川の流れのように</t>
  </si>
  <si>
    <t>桜坂</t>
  </si>
  <si>
    <t>福山雅治</t>
  </si>
  <si>
    <t>YAH YAH YAH</t>
  </si>
  <si>
    <t>CHAGE and ASKA</t>
  </si>
  <si>
    <t>乾杯</t>
  </si>
  <si>
    <t>Precious</t>
  </si>
  <si>
    <t>伊藤由奈</t>
  </si>
  <si>
    <t>最愛</t>
  </si>
  <si>
    <t>群青日和</t>
  </si>
  <si>
    <t>東京事変</t>
  </si>
  <si>
    <t>何度でも</t>
  </si>
  <si>
    <t>未来へ</t>
  </si>
  <si>
    <t>決意の朝に</t>
  </si>
  <si>
    <t>明日への扉</t>
  </si>
  <si>
    <t>I WiSH</t>
  </si>
  <si>
    <t>明日があるさ</t>
  </si>
  <si>
    <t>Can You Keep A Secret?</t>
  </si>
  <si>
    <t>ギブス</t>
  </si>
  <si>
    <t>Automatic</t>
  </si>
  <si>
    <t>LIFE</t>
  </si>
  <si>
    <t>キマグレン</t>
  </si>
  <si>
    <t>きっと大丈夫</t>
  </si>
  <si>
    <t>いい日旅立ち</t>
  </si>
  <si>
    <t>山口百恵</t>
  </si>
  <si>
    <t>ハム太郎とっとこうた</t>
  </si>
  <si>
    <t>ハムちゃんず</t>
  </si>
  <si>
    <t>大切なもの</t>
  </si>
  <si>
    <t>ロードオブメジャー</t>
  </si>
  <si>
    <t>瀬戸の花嫁</t>
  </si>
  <si>
    <t>小柳ルミ子</t>
  </si>
  <si>
    <t>Marionette ～マリオネット～</t>
  </si>
  <si>
    <t>BOφWY</t>
  </si>
  <si>
    <t>どんなときも。</t>
  </si>
  <si>
    <t>希望の唄</t>
  </si>
  <si>
    <t>リライト</t>
  </si>
  <si>
    <t>ASIAN KUNG-FU GENERATION</t>
  </si>
  <si>
    <t>君が好き</t>
  </si>
  <si>
    <t>清水翔太</t>
  </si>
  <si>
    <t>いつかのメリークリスマス</t>
  </si>
  <si>
    <t>flower</t>
  </si>
  <si>
    <t>L'Arc-en-Ciel</t>
  </si>
  <si>
    <t>again</t>
  </si>
  <si>
    <t>信じる</t>
  </si>
  <si>
    <t>あめふり</t>
  </si>
  <si>
    <t>DAN DAN 心魅かれてく</t>
  </si>
  <si>
    <t>FIELD OF VIEW</t>
  </si>
  <si>
    <t>25コ目の染色体</t>
  </si>
  <si>
    <t>空と君のあいだに</t>
  </si>
  <si>
    <t>ファイトソング</t>
  </si>
  <si>
    <t>虫のこえ</t>
  </si>
  <si>
    <t>感謝カンゲキ雨嵐</t>
  </si>
  <si>
    <t>抱きしめたい</t>
  </si>
  <si>
    <t>Diamonds(ダイアモンド)</t>
  </si>
  <si>
    <t>PRINCESS PRINCESS</t>
  </si>
  <si>
    <t>ムーンライト伝説</t>
  </si>
  <si>
    <t>DALI</t>
  </si>
  <si>
    <t>歌舞伎町の女王</t>
  </si>
  <si>
    <t>そばかす</t>
  </si>
  <si>
    <t>JUDY AND MARY</t>
  </si>
  <si>
    <t>Prisoner Of Love</t>
  </si>
  <si>
    <t>花になれ</t>
  </si>
  <si>
    <t>鱗(うろこ)</t>
  </si>
  <si>
    <t>秦基博</t>
  </si>
  <si>
    <t>M</t>
  </si>
  <si>
    <t>アンマー</t>
  </si>
  <si>
    <t>かりゆし58</t>
  </si>
  <si>
    <t>愛し</t>
  </si>
  <si>
    <t>ヴァンパイア</t>
  </si>
  <si>
    <t>Ultra Music Power</t>
  </si>
  <si>
    <t>Hey! Say! JUMP</t>
  </si>
  <si>
    <t>じょいふる</t>
  </si>
  <si>
    <t>北の旅人</t>
  </si>
  <si>
    <t>石原裕次郎</t>
  </si>
  <si>
    <t>ルージュの伝言</t>
  </si>
  <si>
    <t>フレンズ</t>
  </si>
  <si>
    <t>REBECCA</t>
  </si>
  <si>
    <t>紅</t>
  </si>
  <si>
    <t>X JAPAN</t>
  </si>
  <si>
    <t>ヒーロー</t>
  </si>
  <si>
    <t>SAY YES</t>
  </si>
  <si>
    <t>もうひとつの土曜日</t>
  </si>
  <si>
    <t>浜田省吾</t>
  </si>
  <si>
    <t>KOH+</t>
  </si>
  <si>
    <t>想い出がいっぱい</t>
  </si>
  <si>
    <t>H2O</t>
  </si>
  <si>
    <t>Driver's High</t>
  </si>
  <si>
    <t>愛は勝つ</t>
  </si>
  <si>
    <t>KAN</t>
  </si>
  <si>
    <t>くるみ</t>
  </si>
  <si>
    <t>マイガール</t>
  </si>
  <si>
    <t>タイミング ～Timing～</t>
  </si>
  <si>
    <t>ブラックビスケッツ</t>
  </si>
  <si>
    <t>勝手にしやがれ</t>
  </si>
  <si>
    <t>沢田研二</t>
  </si>
  <si>
    <t>SAKURA</t>
  </si>
  <si>
    <t>決戦は金曜日</t>
  </si>
  <si>
    <t>GO!!!</t>
  </si>
  <si>
    <t>FLOW</t>
  </si>
  <si>
    <t>Beautiful World</t>
  </si>
  <si>
    <t>PRIDE</t>
  </si>
  <si>
    <t>今井美樹</t>
  </si>
  <si>
    <t>Jupiter</t>
  </si>
  <si>
    <t>平原綾香</t>
  </si>
  <si>
    <t>昴〈すばる〉</t>
  </si>
  <si>
    <t>谷村新司</t>
  </si>
  <si>
    <t>＊～アスタリスク～</t>
  </si>
  <si>
    <t>Forever Love</t>
  </si>
  <si>
    <t>夏の日の1993</t>
  </si>
  <si>
    <t>class</t>
  </si>
  <si>
    <t>ここにしか咲かない花</t>
  </si>
  <si>
    <t>LOVE PHANTOM</t>
  </si>
  <si>
    <t>KissHug</t>
  </si>
  <si>
    <t>らいおんハート</t>
  </si>
  <si>
    <t>波乗りジョニー</t>
  </si>
  <si>
    <t>さよならの向う側</t>
  </si>
  <si>
    <t>ミュージック・アワー</t>
  </si>
  <si>
    <t>OH MY LITTLE GIRL</t>
  </si>
  <si>
    <t>Time goes by</t>
  </si>
  <si>
    <t>Hello, Again ～昔からある場所～</t>
  </si>
  <si>
    <t>My Little Lover</t>
  </si>
  <si>
    <t>夢見る少女じゃいられない</t>
  </si>
  <si>
    <t>相川七瀬</t>
  </si>
  <si>
    <t>Share The World</t>
  </si>
  <si>
    <t>東方神起</t>
  </si>
  <si>
    <t>明日へ</t>
  </si>
  <si>
    <t>贈る言葉</t>
  </si>
  <si>
    <t>海援隊</t>
  </si>
  <si>
    <t>明日の記憶</t>
  </si>
  <si>
    <t>ちょうちょう</t>
  </si>
  <si>
    <t>ルパン三世のテーマ</t>
  </si>
  <si>
    <t>ピート・マック・ジュニア</t>
  </si>
  <si>
    <t>I wanna see you</t>
  </si>
  <si>
    <t>世界中のこどもたちが</t>
  </si>
  <si>
    <t>ぼよよん行進曲</t>
  </si>
  <si>
    <t>今井ゆうぞう、はいだしょうこ</t>
  </si>
  <si>
    <t>喝采</t>
  </si>
  <si>
    <t>ちあきなおみ</t>
  </si>
  <si>
    <t>刹那</t>
  </si>
  <si>
    <t>希望の轍</t>
  </si>
  <si>
    <t>嘘</t>
  </si>
  <si>
    <t>シド</t>
  </si>
  <si>
    <t>ワールドイズマイン</t>
  </si>
  <si>
    <t>supercell feat. 初音ミク</t>
  </si>
  <si>
    <t>ドラえもんえかきうた</t>
  </si>
  <si>
    <t>あなたに</t>
  </si>
  <si>
    <t>Over Drive</t>
  </si>
  <si>
    <t>きよしこの夜(聖夜)</t>
  </si>
  <si>
    <t>木蘭の涙</t>
  </si>
  <si>
    <t>スターダスト☆レビュー</t>
  </si>
  <si>
    <t>帰りたくなったよ</t>
  </si>
  <si>
    <t>おばけなんてないさ</t>
  </si>
  <si>
    <t>ウィーアー!</t>
  </si>
  <si>
    <t>きただにひろし</t>
  </si>
  <si>
    <t>車輪の唄</t>
  </si>
  <si>
    <t>アンパンマンたいそう</t>
  </si>
  <si>
    <t>come again</t>
  </si>
  <si>
    <t>m-flo</t>
  </si>
  <si>
    <t>15の夜</t>
  </si>
  <si>
    <t>め組のひと</t>
  </si>
  <si>
    <t>RATS＆STAR</t>
  </si>
  <si>
    <t>運命のヒト</t>
  </si>
  <si>
    <t>彩り</t>
  </si>
  <si>
    <t>シーソーゲーム ～勇敢な恋の歌～</t>
  </si>
  <si>
    <t>Voyage</t>
  </si>
  <si>
    <t>女々しくて</t>
  </si>
  <si>
    <t>ゴールデンボンバー</t>
  </si>
  <si>
    <t>リンダ リンダ</t>
  </si>
  <si>
    <t>READY STEADY GO</t>
  </si>
  <si>
    <t>青い珊瑚礁</t>
  </si>
  <si>
    <t>以心電信</t>
  </si>
  <si>
    <t>罪と罰</t>
  </si>
  <si>
    <t>Million Films</t>
  </si>
  <si>
    <t>君がいるだけで</t>
  </si>
  <si>
    <t>たきび</t>
  </si>
  <si>
    <t>絶望ビリー</t>
  </si>
  <si>
    <t>今宵の月のように</t>
  </si>
  <si>
    <t>エレファントカシマシ</t>
  </si>
  <si>
    <t>君に会いたくなるから</t>
  </si>
  <si>
    <t>美影意志</t>
  </si>
  <si>
    <t>どうして君を好きになってしまったんだろう？</t>
  </si>
  <si>
    <t>オーダーメイド</t>
  </si>
  <si>
    <t>元気を出して</t>
  </si>
  <si>
    <t>あなた</t>
  </si>
  <si>
    <t>青空</t>
  </si>
  <si>
    <t>素直になれたら</t>
  </si>
  <si>
    <t>JUJU feat. Spontania</t>
  </si>
  <si>
    <t>水木一郎</t>
  </si>
  <si>
    <t>LA・LA・LA LOVE SONG</t>
  </si>
  <si>
    <t>久保田利伸 with ナオミキャンベル</t>
  </si>
  <si>
    <t>プレイバック Part2</t>
  </si>
  <si>
    <t>ひこうき雲</t>
  </si>
  <si>
    <t>初恋</t>
  </si>
  <si>
    <t>村下孝蔵</t>
  </si>
  <si>
    <t>セーラー服と機関銃</t>
  </si>
  <si>
    <t>薬師丸ひろ子</t>
  </si>
  <si>
    <t>ちっぽけな勇気</t>
  </si>
  <si>
    <t>愛の讃歌</t>
  </si>
  <si>
    <t>越路吹雪</t>
  </si>
  <si>
    <t>コイスルオトメ</t>
  </si>
  <si>
    <t>Gimmick Game</t>
  </si>
  <si>
    <t>大空と大地の中で</t>
  </si>
  <si>
    <t>松山千春</t>
  </si>
  <si>
    <t>三百六十五歩のマーチ</t>
  </si>
  <si>
    <t>水前寺清子</t>
  </si>
  <si>
    <t>言葉にできない</t>
  </si>
  <si>
    <t>sailing day</t>
  </si>
  <si>
    <t>旅立ちの時 ～Asian Dream Song～</t>
  </si>
  <si>
    <t>宮沢和史・久石譲</t>
  </si>
  <si>
    <t>悪女</t>
  </si>
  <si>
    <t>また逢う日まで</t>
  </si>
  <si>
    <t>尾崎紀世彦</t>
  </si>
  <si>
    <t>それが大事</t>
  </si>
  <si>
    <t>大事MANブラザーズバンド</t>
  </si>
  <si>
    <t>千の風になって</t>
  </si>
  <si>
    <t>秋川雅史</t>
  </si>
  <si>
    <t>I believe</t>
  </si>
  <si>
    <t>等身大のラブソング</t>
  </si>
  <si>
    <t>さんぽ</t>
  </si>
  <si>
    <t>旅立ちの唄</t>
  </si>
  <si>
    <t>Woman “Wの悲劇”より</t>
  </si>
  <si>
    <t>for you…</t>
  </si>
  <si>
    <t>高橋真梨子</t>
  </si>
  <si>
    <t>魔訶不思議アドベンチャー!</t>
  </si>
  <si>
    <t>高橋洋樹</t>
  </si>
  <si>
    <t>DESIRE -情熱-</t>
  </si>
  <si>
    <t>中森明菜</t>
  </si>
  <si>
    <t>GLAMOROUS SKY</t>
  </si>
  <si>
    <t>NANA starring MIKA NAKASHIMA</t>
  </si>
  <si>
    <t>かたちあるもの</t>
  </si>
  <si>
    <t>柴咲コウ</t>
  </si>
  <si>
    <t>Winter,again</t>
  </si>
  <si>
    <t>春に</t>
  </si>
  <si>
    <t>能動的三分間</t>
  </si>
  <si>
    <t>DEPARTURES</t>
  </si>
  <si>
    <t>globe</t>
  </si>
  <si>
    <t>let go</t>
  </si>
  <si>
    <t>m-flo loves YOSHIKA</t>
  </si>
  <si>
    <t>Baby Don't Cry</t>
  </si>
  <si>
    <t>POP STAR</t>
  </si>
  <si>
    <t>youthful days</t>
  </si>
  <si>
    <t>Moon Crying</t>
  </si>
  <si>
    <t>秋桜</t>
  </si>
  <si>
    <t>うれしい！たのしい！大好き！</t>
  </si>
  <si>
    <t>ジングル・ベル</t>
  </si>
  <si>
    <t>レイニー ブルー</t>
  </si>
  <si>
    <t>徳永英明</t>
  </si>
  <si>
    <t>キミに贈る歌</t>
  </si>
  <si>
    <t>菅原紗由理</t>
  </si>
  <si>
    <t>2億4千万の瞳(エキゾチック・ジャパン)</t>
  </si>
  <si>
    <t>郷ひろみ</t>
  </si>
  <si>
    <t>Black Cherry</t>
  </si>
  <si>
    <t>Acid Black Cherry</t>
  </si>
  <si>
    <t>マツケンサンバII</t>
  </si>
  <si>
    <t>松平健</t>
  </si>
  <si>
    <t>PIKA★★NCHI DOUBLE</t>
  </si>
  <si>
    <t>シャボン玉</t>
  </si>
  <si>
    <t>さくら さくら</t>
  </si>
  <si>
    <t>Squall</t>
  </si>
  <si>
    <t>オリビアを聴きながら</t>
  </si>
  <si>
    <t>杏里</t>
  </si>
  <si>
    <t>My Way</t>
  </si>
  <si>
    <t>Def Tech</t>
  </si>
  <si>
    <t>HONEY</t>
  </si>
  <si>
    <t>風になる</t>
  </si>
  <si>
    <t>つじあやの</t>
  </si>
  <si>
    <t>SHAMROCK</t>
  </si>
  <si>
    <t>Who...</t>
  </si>
  <si>
    <t>歌ネット 歴代人気順1〜1000位</t>
  </si>
  <si>
    <t>対象曲</t>
  </si>
  <si>
    <t>出典：https://www.uta-net.com/ranking/total/?sort=pop-d</t>
  </si>
  <si>
    <t>採用候補</t>
  </si>
  <si>
    <t>取得日：2026/10/13。2010年以降を採用候補。段位は元順位100位ごとの仮配分。</t>
  </si>
  <si>
    <t>除外</t>
  </si>
  <si>
    <t>段位候補</t>
  </si>
  <si>
    <t>日付による選定</t>
  </si>
  <si>
    <t>歌詞表示回数</t>
  </si>
  <si>
    <t>back number</t>
  </si>
  <si>
    <t>https://www.uta-net.com/song/195484/</t>
  </si>
  <si>
    <t>Lemon</t>
  </si>
  <si>
    <t>米津玄師</t>
  </si>
  <si>
    <t>https://www.uta-net.com/song/244127/</t>
  </si>
  <si>
    <t>Bling-Bang-Bang-Born</t>
  </si>
  <si>
    <t>Creepy Nuts</t>
  </si>
  <si>
    <t>https://www.uta-net.com/song/348673/</t>
  </si>
  <si>
    <t>花束</t>
  </si>
  <si>
    <t>https://www.uta-net.com/song/113824/</t>
  </si>
  <si>
    <t>366日</t>
  </si>
  <si>
    <t>https://www.uta-net.com/song/64011/</t>
  </si>
  <si>
    <t>https://www.uta-net.com/song/65511/</t>
  </si>
  <si>
    <t>Pretender</t>
  </si>
  <si>
    <t>Official髭男dism</t>
  </si>
  <si>
    <t>https://www.uta-net.com/song/266648/</t>
  </si>
  <si>
    <t>前前前世 (movie ver.)</t>
  </si>
  <si>
    <t>https://www.uta-net.com/song/211495/</t>
  </si>
  <si>
    <t>RPG</t>
  </si>
  <si>
    <t>SEKAI NO OWARI</t>
  </si>
  <si>
    <t>https://www.uta-net.com/song/145480/</t>
  </si>
  <si>
    <t>LOSER</t>
  </si>
  <si>
    <t>https://www.uta-net.com/song/215594/</t>
  </si>
  <si>
    <t>ハッピーエンド</t>
  </si>
  <si>
    <t>https://www.uta-net.com/song/216847/</t>
  </si>
  <si>
    <t>紅蓮華</t>
  </si>
  <si>
    <t>LiSA</t>
  </si>
  <si>
    <t>https://www.uta-net.com/song/270036/</t>
  </si>
  <si>
    <t>アイドル</t>
  </si>
  <si>
    <t>YOASOBI</t>
  </si>
  <si>
    <t>https://www.uta-net.com/song/335761/</t>
  </si>
  <si>
    <t>ヒロイン</t>
  </si>
  <si>
    <t>https://www.uta-net.com/song/177145/</t>
  </si>
  <si>
    <t>https://www.uta-net.com/song/18718/</t>
  </si>
  <si>
    <t>白日</t>
  </si>
  <si>
    <t>King Gnu</t>
  </si>
  <si>
    <t>https://www.uta-net.com/song/263550/</t>
  </si>
  <si>
    <t>高嶺の花子さん</t>
  </si>
  <si>
    <t>https://www.uta-net.com/song/147577/</t>
  </si>
  <si>
    <t>https://www.uta-net.com/song/48901/</t>
  </si>
  <si>
    <t>トリセツ</t>
  </si>
  <si>
    <t>https://www.uta-net.com/song/193479/</t>
  </si>
  <si>
    <t>マリーゴールド</t>
  </si>
  <si>
    <t>あいみょん</t>
  </si>
  <si>
    <t>https://www.uta-net.com/song/251631/</t>
  </si>
  <si>
    <t>恋</t>
  </si>
  <si>
    <t>https://www.uta-net.com/song/126314/</t>
  </si>
  <si>
    <t>猫</t>
  </si>
  <si>
    <t>DISH//</t>
  </si>
  <si>
    <t>https://www.uta-net.com/song/234121/</t>
  </si>
  <si>
    <t>I LOVE...</t>
  </si>
  <si>
    <t>https://www.uta-net.com/song/280202/</t>
  </si>
  <si>
    <t>夜に駆ける</t>
  </si>
  <si>
    <t>https://www.uta-net.com/song/284748/</t>
  </si>
  <si>
    <t>わたがし</t>
  </si>
  <si>
    <t>https://www.uta-net.com/song/131500/</t>
  </si>
  <si>
    <t>なんでもないや (movie edit. + movie ver.)</t>
  </si>
  <si>
    <t>https://www.uta-net.com/song/213756/</t>
  </si>
  <si>
    <t>ドライフラワー</t>
  </si>
  <si>
    <t>優里</t>
  </si>
  <si>
    <t>https://www.uta-net.com/song/292676/</t>
  </si>
  <si>
    <t>瞬き</t>
  </si>
  <si>
    <t>https://www.uta-net.com/song/239017/</t>
  </si>
  <si>
    <t>感電</t>
  </si>
  <si>
    <t>https://www.uta-net.com/song/287617/</t>
  </si>
  <si>
    <t>https://www.uta-net.com/song/70478/</t>
  </si>
  <si>
    <t>パプリカ</t>
  </si>
  <si>
    <t>Foorin</t>
  </si>
  <si>
    <t>https://www.uta-net.com/song/254123/</t>
  </si>
  <si>
    <t>HAPPY BIRTHDAY</t>
  </si>
  <si>
    <t>https://www.uta-net.com/song/261730/</t>
  </si>
  <si>
    <t>香水</t>
  </si>
  <si>
    <t>瑛人</t>
  </si>
  <si>
    <t>https://www.uta-net.com/song/287216/</t>
  </si>
  <si>
    <t>https://www.uta-net.com/song/10225/</t>
  </si>
  <si>
    <t>うっせぇわ</t>
  </si>
  <si>
    <t>Ado</t>
  </si>
  <si>
    <t>https://www.uta-net.com/song/292534/</t>
  </si>
  <si>
    <t>Wherever you are</t>
  </si>
  <si>
    <t>ONE OK ROCK</t>
  </si>
  <si>
    <t>https://www.uta-net.com/song/96193/</t>
  </si>
  <si>
    <t>https://www.uta-net.com/song/18874/</t>
  </si>
  <si>
    <t>スパークル (movie ver.)</t>
  </si>
  <si>
    <t>https://www.uta-net.com/song/213757/</t>
  </si>
  <si>
    <t>https://www.uta-net.com/song/9073/</t>
  </si>
  <si>
    <t>まちがいさがし</t>
  </si>
  <si>
    <t>菅田将暉</t>
  </si>
  <si>
    <t>https://www.uta-net.com/song/267262/</t>
  </si>
  <si>
    <t>炎</t>
  </si>
  <si>
    <t>https://www.uta-net.com/song/292195/</t>
  </si>
  <si>
    <t>Subtitle</t>
  </si>
  <si>
    <t>https://www.uta-net.com/song/326156/</t>
  </si>
  <si>
    <t>ワタリドリ</t>
  </si>
  <si>
    <t>[Alexandros]</t>
  </si>
  <si>
    <t>https://www.uta-net.com/song/180656/</t>
  </si>
  <si>
    <t>ヒカリヘ</t>
  </si>
  <si>
    <t>miwa</t>
  </si>
  <si>
    <t>https://www.uta-net.com/song/133324/</t>
  </si>
  <si>
    <t>シェネル</t>
  </si>
  <si>
    <t>https://www.uta-net.com/song/171838/</t>
  </si>
  <si>
    <t>ともに</t>
  </si>
  <si>
    <t>WANIMA</t>
  </si>
  <si>
    <t>https://www.uta-net.com/song/212098/</t>
  </si>
  <si>
    <t>馬と鹿</t>
  </si>
  <si>
    <t>https://www.uta-net.com/song/273829/</t>
  </si>
  <si>
    <t>灰色と青 ( + 菅田将暉)</t>
  </si>
  <si>
    <t>https://www.uta-net.com/song/237845/</t>
  </si>
  <si>
    <t>点描の唄(feat.井上苑子)</t>
  </si>
  <si>
    <t>Mrs. GREEN APPLE</t>
  </si>
  <si>
    <t>https://www.uta-net.com/song/253265/</t>
  </si>
  <si>
    <t>君に届け</t>
  </si>
  <si>
    <t>https://www.uta-net.com/song/102025/</t>
  </si>
  <si>
    <t>家族になろうよ</t>
  </si>
  <si>
    <t>https://www.uta-net.com/song/112355/</t>
  </si>
  <si>
    <t>https://www.uta-net.com/song/12513/</t>
  </si>
  <si>
    <t>カタオモイ</t>
  </si>
  <si>
    <t>Aimer</t>
  </si>
  <si>
    <t>https://www.uta-net.com/song/215314/</t>
  </si>
  <si>
    <t>アイネクライネ</t>
  </si>
  <si>
    <t>https://www.uta-net.com/song/162135/</t>
  </si>
  <si>
    <t>残響散歌</t>
  </si>
  <si>
    <t>https://www.uta-net.com/song/312114/</t>
  </si>
  <si>
    <t>https://www.uta-net.com/song/13930/</t>
  </si>
  <si>
    <t>夢灯籠</t>
  </si>
  <si>
    <t>https://www.uta-net.com/song/213758/</t>
  </si>
  <si>
    <t>スパークル [original ver.]</t>
  </si>
  <si>
    <t>https://www.uta-net.com/song/221988/</t>
  </si>
  <si>
    <t>三代目 J SOUL BROTHERS</t>
  </si>
  <si>
    <t>https://www.uta-net.com/song/133449/</t>
  </si>
  <si>
    <t>オールドファッション</t>
  </si>
  <si>
    <t>https://www.uta-net.com/song/256753/</t>
  </si>
  <si>
    <t>IRIS OUT</t>
  </si>
  <si>
    <t>https://www.uta-net.com/song/380113/</t>
  </si>
  <si>
    <t>https://www.uta-net.com/song/15597/</t>
  </si>
  <si>
    <t>https://www.uta-net.com/song/84214/</t>
  </si>
  <si>
    <t>イエスタデイ</t>
  </si>
  <si>
    <t>https://www.uta-net.com/song/274368/</t>
  </si>
  <si>
    <t>ありがとう</t>
  </si>
  <si>
    <t>https://www.uta-net.com/song/94247/</t>
  </si>
  <si>
    <t>https://www.uta-net.com/song/89603/</t>
  </si>
  <si>
    <t>僕は君の事が好きだけど君は僕を別に好きじゃないみたい</t>
  </si>
  <si>
    <t>https://www.uta-net.com/song/198830/</t>
  </si>
  <si>
    <t>https://www.uta-net.com/song/7326/</t>
  </si>
  <si>
    <t>https://www.uta-net.com/song/70553/</t>
  </si>
  <si>
    <t>青い春</t>
  </si>
  <si>
    <t>https://www.uta-net.com/song/136444/</t>
  </si>
  <si>
    <t>https://www.uta-net.com/song/66961/</t>
  </si>
  <si>
    <t>SISTER</t>
  </si>
  <si>
    <t>https://www.uta-net.com/song/184068/</t>
  </si>
  <si>
    <t>星野源</t>
  </si>
  <si>
    <t>https://www.uta-net.com/song/216304/</t>
  </si>
  <si>
    <t>好きな人がいること</t>
  </si>
  <si>
    <t>JY</t>
  </si>
  <si>
    <t>https://www.uta-net.com/song/210881/</t>
  </si>
  <si>
    <t>115万キロのフィルム</t>
  </si>
  <si>
    <t>https://www.uta-net.com/song/247041/</t>
  </si>
  <si>
    <t>https://www.uta-net.com/song/19425/</t>
  </si>
  <si>
    <t>好きだよ。～100回の後悔～</t>
  </si>
  <si>
    <t>ソナーポケット</t>
  </si>
  <si>
    <t>https://www.uta-net.com/song/107819/</t>
  </si>
  <si>
    <t>https://www.uta-net.com/song/17129/</t>
  </si>
  <si>
    <t>未来</t>
  </si>
  <si>
    <t>https://www.uta-net.com/song/198825/</t>
  </si>
  <si>
    <t>https://www.uta-net.com/song/80054/</t>
  </si>
  <si>
    <t>恋音と雨空</t>
  </si>
  <si>
    <t>AAA</t>
  </si>
  <si>
    <t>https://www.uta-net.com/song/151241/</t>
  </si>
  <si>
    <t>君と羊と青</t>
  </si>
  <si>
    <t>https://www.uta-net.com/song/109883/</t>
  </si>
  <si>
    <t>https://www.uta-net.com/song/51913/</t>
  </si>
  <si>
    <t>https://www.uta-net.com/song/49383/</t>
  </si>
  <si>
    <t>サイレントマジョリティー</t>
  </si>
  <si>
    <t>欅坂46</t>
  </si>
  <si>
    <t>https://www.uta-net.com/song/205640/</t>
  </si>
  <si>
    <t>ライラック</t>
  </si>
  <si>
    <t>https://www.uta-net.com/song/352984/</t>
  </si>
  <si>
    <t>僕のこと</t>
  </si>
  <si>
    <t>https://www.uta-net.com/song/260738/</t>
  </si>
  <si>
    <t>会いたくて 会いたくて</t>
  </si>
  <si>
    <t>https://www.uta-net.com/song/93717/</t>
  </si>
  <si>
    <t>https://www.uta-net.com/song/53277/</t>
  </si>
  <si>
    <t>唱</t>
  </si>
  <si>
    <t>https://www.uta-net.com/song/343570/</t>
  </si>
  <si>
    <t>https://www.uta-net.com/song/51644/</t>
  </si>
  <si>
    <t>https://www.uta-net.com/song/67818/</t>
  </si>
  <si>
    <t>https://www.uta-net.com/song/12167/</t>
  </si>
  <si>
    <t>ray</t>
  </si>
  <si>
    <t>https://www.uta-net.com/song/160943/</t>
  </si>
  <si>
    <t>https://www.uta-net.com/song/45078/</t>
  </si>
  <si>
    <t>廻廻奇譚</t>
  </si>
  <si>
    <t>Eve</t>
  </si>
  <si>
    <t>https://www.uta-net.com/song/291859/</t>
  </si>
  <si>
    <t>Re:make</t>
  </si>
  <si>
    <t>https://www.uta-net.com/song/115874/</t>
  </si>
  <si>
    <t>https://www.uta-net.com/song/40362/</t>
  </si>
  <si>
    <t>さよーならまたいつか！</t>
  </si>
  <si>
    <t>https://www.uta-net.com/song/352487/</t>
  </si>
  <si>
    <t>https://www.uta-net.com/song/25996/</t>
  </si>
  <si>
    <t>愛を伝えたいだとか</t>
  </si>
  <si>
    <t>https://www.uta-net.com/song/228048/</t>
  </si>
  <si>
    <t>https://www.uta-net.com/song/60335/</t>
  </si>
  <si>
    <t>君はロックを聴かない</t>
  </si>
  <si>
    <t>https://www.uta-net.com/song/232843/</t>
  </si>
  <si>
    <t>群青</t>
  </si>
  <si>
    <t>https://www.uta-net.com/song/290004/</t>
  </si>
  <si>
    <t>https://www.uta-net.com/song/4548/</t>
  </si>
  <si>
    <t>https://www.uta-net.com/song/25879/</t>
  </si>
  <si>
    <t>クスシキ</t>
  </si>
  <si>
    <t>https://www.uta-net.com/song/371233/</t>
  </si>
  <si>
    <t>https://www.uta-net.com/song/293474/</t>
  </si>
  <si>
    <t>完全感覚Dreamer</t>
  </si>
  <si>
    <t>https://www.uta-net.com/song/88975/</t>
  </si>
  <si>
    <t>Dragon Night</t>
  </si>
  <si>
    <t>https://www.uta-net.com/song/171944/</t>
  </si>
  <si>
    <t>プロローグ</t>
  </si>
  <si>
    <t>Uru</t>
  </si>
  <si>
    <t>https://www.uta-net.com/song/256925/</t>
  </si>
  <si>
    <t>アイノカタチ feat.HIDE(GReeeeN)</t>
  </si>
  <si>
    <t>https://www.uta-net.com/song/253191/</t>
  </si>
  <si>
    <t>https://www.uta-net.com/song/117619/</t>
  </si>
  <si>
    <t>https://www.uta-net.com/song/4388/</t>
  </si>
  <si>
    <t>青と夏</t>
  </si>
  <si>
    <t>https://www.uta-net.com/song/252099/</t>
  </si>
  <si>
    <t>インフェルノ</t>
  </si>
  <si>
    <t>https://www.uta-net.com/song/270752/</t>
  </si>
  <si>
    <t>orion</t>
  </si>
  <si>
    <t>https://www.uta-net.com/song/224078/</t>
  </si>
  <si>
    <t>水平線</t>
  </si>
  <si>
    <t>https://www.uta-net.com/song/306206/</t>
  </si>
  <si>
    <t>https://www.uta-net.com/song/42155/</t>
  </si>
  <si>
    <t>愛し君へ</t>
  </si>
  <si>
    <t>https://www.uta-net.com/song/149838/</t>
  </si>
  <si>
    <t>友よ～この先もずっと…</t>
  </si>
  <si>
    <t>https://www.uta-net.com/song/205232/</t>
  </si>
  <si>
    <t>https://www.uta-net.com/song/12840/</t>
  </si>
  <si>
    <t>眠り姫</t>
  </si>
  <si>
    <t>https://www.uta-net.com/song/130120/</t>
  </si>
  <si>
    <t>ピースサイン</t>
  </si>
  <si>
    <t>https://www.uta-net.com/song/230891/</t>
  </si>
  <si>
    <t>https://www.uta-net.com/song/58228/</t>
  </si>
  <si>
    <t>あなたがいることで</t>
  </si>
  <si>
    <t>https://www.uta-net.com/song/280477/</t>
  </si>
  <si>
    <t>https://www.uta-net.com/song/80300/</t>
  </si>
  <si>
    <t>シンデレラガール</t>
  </si>
  <si>
    <t>King &amp; Prince</t>
  </si>
  <si>
    <t>https://www.uta-net.com/song/249477/</t>
  </si>
  <si>
    <t>宿命</t>
  </si>
  <si>
    <t>https://www.uta-net.com/song/270348/</t>
  </si>
  <si>
    <t>もしも運命の人がいるのなら</t>
  </si>
  <si>
    <t>https://www.uta-net.com/song/184882/</t>
  </si>
  <si>
    <t>やってみよう</t>
  </si>
  <si>
    <t>https://www.uta-net.com/song/224538/</t>
  </si>
  <si>
    <t>裸の心</t>
  </si>
  <si>
    <t>https://www.uta-net.com/song/285059/</t>
  </si>
  <si>
    <t>https://www.uta-net.com/song/159065/</t>
  </si>
  <si>
    <t>いのちの歌</t>
  </si>
  <si>
    <t>https://www.uta-net.com/song/124705/</t>
  </si>
  <si>
    <t>KICK BACK</t>
  </si>
  <si>
    <t>https://www.uta-net.com/song/326423/</t>
  </si>
  <si>
    <t>君がくれた夏</t>
  </si>
  <si>
    <t>家入レオ</t>
  </si>
  <si>
    <t>https://www.uta-net.com/song/189853/</t>
  </si>
  <si>
    <t>可愛くてごめん feat. ちゅーたん(早見沙織)</t>
  </si>
  <si>
    <t>HoneyWorks</t>
  </si>
  <si>
    <t>https://www.uta-net.com/song/328567/</t>
  </si>
  <si>
    <t>https://www.uta-net.com/song/83580/</t>
  </si>
  <si>
    <t>https://www.uta-net.com/song/75505/</t>
  </si>
  <si>
    <t>夜空。feat. ハジ→</t>
  </si>
  <si>
    <t>https://www.uta-net.com/song/191752/</t>
  </si>
  <si>
    <t>https://www.uta-net.com/song/2013/</t>
  </si>
  <si>
    <t>365日</t>
  </si>
  <si>
    <t>https://www.uta-net.com/song/105563/</t>
  </si>
  <si>
    <t>Habit</t>
  </si>
  <si>
    <t>https://www.uta-net.com/song/318034/</t>
  </si>
  <si>
    <t>https://www.uta-net.com/song/11567/</t>
  </si>
  <si>
    <t>新宝島</t>
  </si>
  <si>
    <t>サカナクション</t>
  </si>
  <si>
    <t>https://www.uta-net.com/song/194538/</t>
  </si>
  <si>
    <t>Love Story</t>
  </si>
  <si>
    <t>https://www.uta-net.com/song/122113/</t>
  </si>
  <si>
    <t>https://www.uta-net.com/song/13435/</t>
  </si>
  <si>
    <t>THE OVER</t>
  </si>
  <si>
    <t>https://www.uta-net.com/song/133667/</t>
  </si>
  <si>
    <t>The Beginning</t>
  </si>
  <si>
    <t>https://www.uta-net.com/song/133897/</t>
  </si>
  <si>
    <t>ひまわりの約束</t>
  </si>
  <si>
    <t>https://www.uta-net.com/song/167749/</t>
  </si>
  <si>
    <t>幸せ</t>
  </si>
  <si>
    <t>https://www.uta-net.com/song/110793/</t>
  </si>
  <si>
    <t>Cry Baby</t>
  </si>
  <si>
    <t>https://www.uta-net.com/song/301712/</t>
  </si>
  <si>
    <t>https://www.uta-net.com/song/12170/</t>
  </si>
  <si>
    <t>新時代</t>
  </si>
  <si>
    <t>https://www.uta-net.com/song/319758/</t>
  </si>
  <si>
    <t>シャルル</t>
  </si>
  <si>
    <t>バルーン</t>
  </si>
  <si>
    <t>https://www.uta-net.com/song/247551/</t>
  </si>
  <si>
    <t>春風</t>
  </si>
  <si>
    <t>Rihwa</t>
  </si>
  <si>
    <t>https://www.uta-net.com/song/157664/</t>
  </si>
  <si>
    <t>日曜日</t>
  </si>
  <si>
    <t>https://www.uta-net.com/song/129560/</t>
  </si>
  <si>
    <t>ダーリン</t>
  </si>
  <si>
    <t>https://www.uta-net.com/song/367068/</t>
  </si>
  <si>
    <t>https://www.uta-net.com/song/4273/</t>
  </si>
  <si>
    <t>https://www.uta-net.com/song/44289/</t>
  </si>
  <si>
    <t>貴方解剖純愛歌 ～死ね～</t>
  </si>
  <si>
    <t>https://www.uta-net.com/song/177991/</t>
  </si>
  <si>
    <t>https://www.uta-net.com/song/13241/</t>
  </si>
  <si>
    <t>https://www.uta-net.com/song/56474/</t>
  </si>
  <si>
    <t>Darling</t>
  </si>
  <si>
    <t>https://www.uta-net.com/song/167516/</t>
  </si>
  <si>
    <t>はなびら</t>
  </si>
  <si>
    <t>https://www.uta-net.com/song/110795/</t>
  </si>
  <si>
    <t>ベテルギウス</t>
  </si>
  <si>
    <t>https://www.uta-net.com/song/310126/</t>
  </si>
  <si>
    <t>Soranji</t>
  </si>
  <si>
    <t>https://www.uta-net.com/song/326460/</t>
  </si>
  <si>
    <t>ソラニン</t>
  </si>
  <si>
    <t>https://www.uta-net.com/song/91828/</t>
  </si>
  <si>
    <t>fish</t>
  </si>
  <si>
    <t>https://www.uta-net.com/song/155572/</t>
  </si>
  <si>
    <t>ハピネス</t>
  </si>
  <si>
    <t>https://www.uta-net.com/song/121953/</t>
  </si>
  <si>
    <t>怪獣</t>
  </si>
  <si>
    <t>https://www.uta-net.com/song/368529/</t>
  </si>
  <si>
    <t>https://www.uta-net.com/song/51083/</t>
  </si>
  <si>
    <t>FANTASTIC BABY</t>
  </si>
  <si>
    <t>BIGBANG</t>
  </si>
  <si>
    <t>https://www.uta-net.com/song/127643/</t>
  </si>
  <si>
    <t>ミックスナッツ</t>
  </si>
  <si>
    <t>https://www.uta-net.com/song/317311/</t>
  </si>
  <si>
    <t>僕の名前を</t>
  </si>
  <si>
    <t>https://www.uta-net.com/song/207092/</t>
  </si>
  <si>
    <t>https://www.uta-net.com/song/13892/</t>
  </si>
  <si>
    <t>証</t>
  </si>
  <si>
    <t>https://www.uta-net.com/song/112293/</t>
  </si>
  <si>
    <t>GO FOR IT !!</t>
  </si>
  <si>
    <t>https://www.uta-net.com/song/131967/</t>
  </si>
  <si>
    <t>手紙</t>
  </si>
  <si>
    <t>https://www.uta-net.com/song/190218/</t>
  </si>
  <si>
    <t>怪獣の花唄</t>
  </si>
  <si>
    <t>Vaundy</t>
  </si>
  <si>
    <t>https://www.uta-net.com/song/285326/</t>
  </si>
  <si>
    <t>https://www.uta-net.com/song/13899/</t>
  </si>
  <si>
    <t>ただ君に晴れ</t>
  </si>
  <si>
    <t>ヨルシカ</t>
  </si>
  <si>
    <t>https://www.uta-net.com/song/248496/</t>
  </si>
  <si>
    <t>https://www.uta-net.com/song/18574/</t>
  </si>
  <si>
    <t>レット・イット・ゴー～ありのままで～</t>
  </si>
  <si>
    <t>松たか子</t>
  </si>
  <si>
    <t>https://www.uta-net.com/song/163665/</t>
  </si>
  <si>
    <t>怪物</t>
  </si>
  <si>
    <t>https://www.uta-net.com/song/296109/</t>
  </si>
  <si>
    <t>https://www.uta-net.com/song/20742/</t>
  </si>
  <si>
    <t>R.Y.U.S.E.I.</t>
  </si>
  <si>
    <t>https://www.uta-net.com/song/165885/</t>
  </si>
  <si>
    <t>好き</t>
  </si>
  <si>
    <t>https://www.uta-net.com/song/171365/</t>
  </si>
  <si>
    <t>革命道中</t>
  </si>
  <si>
    <t>アイナ・ジ・エンド</t>
  </si>
  <si>
    <t>https://www.uta-net.com/song/375655/</t>
  </si>
  <si>
    <t>https://www.uta-net.com/song/18650/</t>
  </si>
  <si>
    <t>ケセラセラ</t>
  </si>
  <si>
    <t>https://www.uta-net.com/song/336333/</t>
  </si>
  <si>
    <t>https://www.uta-net.com/song/8487/</t>
  </si>
  <si>
    <t>春雷</t>
  </si>
  <si>
    <t>https://www.uta-net.com/song/238733/</t>
  </si>
  <si>
    <t>https://www.uta-net.com/song/1813/</t>
  </si>
  <si>
    <t>思い出せなくなるその日まで</t>
  </si>
  <si>
    <t>https://www.uta-net.com/song/118690/</t>
  </si>
  <si>
    <t>https://www.uta-net.com/song/141868/</t>
  </si>
  <si>
    <t>別の人の彼女になったよ</t>
  </si>
  <si>
    <t>wacci</t>
  </si>
  <si>
    <t>https://www.uta-net.com/song/254047/</t>
  </si>
  <si>
    <t>https://www.uta-net.com/song/51752/</t>
  </si>
  <si>
    <t>SPECIALZ</t>
  </si>
  <si>
    <t>https://www.uta-net.com/song/342837/</t>
  </si>
  <si>
    <t>https://www.uta-net.com/song/55449/</t>
  </si>
  <si>
    <t>さよならエレジー</t>
  </si>
  <si>
    <t>https://www.uta-net.com/song/244355/</t>
  </si>
  <si>
    <t>https://www.uta-net.com/song/37486/</t>
  </si>
  <si>
    <t>片想い</t>
  </si>
  <si>
    <t>https://www.uta-net.com/song/124123/</t>
  </si>
  <si>
    <t>蝶々結び</t>
  </si>
  <si>
    <t>https://www.uta-net.com/song/212623/</t>
  </si>
  <si>
    <t>https://www.uta-net.com/song/54320/</t>
  </si>
  <si>
    <t>https://www.uta-net.com/song/41660/</t>
  </si>
  <si>
    <t>https://www.uta-net.com/song/57208/</t>
  </si>
  <si>
    <t>https://www.uta-net.com/song/188/</t>
  </si>
  <si>
    <t>StaRt</t>
  </si>
  <si>
    <t>https://www.uta-net.com/song/189429/</t>
  </si>
  <si>
    <t>https://www.uta-net.com/song/34909/</t>
  </si>
  <si>
    <t>https://www.uta-net.com/song/17920/</t>
  </si>
  <si>
    <t>Tot Musica</t>
  </si>
  <si>
    <t>https://www.uta-net.com/song/322907/</t>
  </si>
  <si>
    <t>明日も</t>
  </si>
  <si>
    <t>MUSH&amp;Co.</t>
  </si>
  <si>
    <t>https://www.uta-net.com/song/153927/</t>
  </si>
  <si>
    <t>https://www.uta-net.com/song/13979/</t>
  </si>
  <si>
    <t>みんながみんな英雄</t>
  </si>
  <si>
    <t>https://www.uta-net.com/song/199851/</t>
  </si>
  <si>
    <t>私たち</t>
  </si>
  <si>
    <t>https://www.uta-net.com/song/129255/</t>
  </si>
  <si>
    <t>https://www.uta-net.com/song/352/</t>
  </si>
  <si>
    <t>https://www.uta-net.com/song/81656/</t>
  </si>
  <si>
    <t>https://www.uta-net.com/song/14341/</t>
  </si>
  <si>
    <t>https://www.uta-net.com/song/8097/</t>
  </si>
  <si>
    <t>https://www.uta-net.com/song/35601/</t>
  </si>
  <si>
    <t>for YOU。</t>
  </si>
  <si>
    <t>ハジ→</t>
  </si>
  <si>
    <t>https://www.uta-net.com/song/149011/</t>
  </si>
  <si>
    <t>https://www.uta-net.com/song/3088/</t>
  </si>
  <si>
    <t>https://www.uta-net.com/song/64412/</t>
  </si>
  <si>
    <t>花束を君に</t>
  </si>
  <si>
    <t>https://www.uta-net.com/song/206487/</t>
  </si>
  <si>
    <t>https://www.uta-net.com/song/5344/</t>
  </si>
  <si>
    <t>https://www.uta-net.com/song/12846/</t>
  </si>
  <si>
    <t>ノンフィクション</t>
  </si>
  <si>
    <t>https://www.uta-net.com/song/230110/</t>
  </si>
  <si>
    <t>正解(18FES ver.)</t>
  </si>
  <si>
    <t>https://www.uta-net.com/song/260329/</t>
  </si>
  <si>
    <t>https://www.uta-net.com/song/2416/</t>
  </si>
  <si>
    <t>https://www.uta-net.com/song/47751/</t>
  </si>
  <si>
    <t>ビリーヴ</t>
  </si>
  <si>
    <t>https://www.uta-net.com/song/131466/</t>
  </si>
  <si>
    <t>https://www.uta-net.com/song/46404/</t>
  </si>
  <si>
    <t>アンサイズニア</t>
  </si>
  <si>
    <t>https://www.uta-net.com/song/108882/</t>
  </si>
  <si>
    <t>https://www.uta-net.com/song/10568/</t>
  </si>
  <si>
    <t>Make you happy</t>
  </si>
  <si>
    <t>NiziU</t>
  </si>
  <si>
    <t>https://www.uta-net.com/song/287329/</t>
  </si>
  <si>
    <t>https://www.uta-net.com/song/15894/</t>
  </si>
  <si>
    <t>さよならの前に</t>
  </si>
  <si>
    <t>https://www.uta-net.com/song/169819/</t>
  </si>
  <si>
    <t>愛▽スクリ～ム！</t>
  </si>
  <si>
    <t>AiScReam</t>
  </si>
  <si>
    <t>https://www.uta-net.com/song/367094/</t>
  </si>
  <si>
    <t>ROSE</t>
  </si>
  <si>
    <t>HANA</t>
  </si>
  <si>
    <t>https://www.uta-net.com/song/370964/</t>
  </si>
  <si>
    <t>生まれてはじめて</t>
  </si>
  <si>
    <t>神田沙也加・松たか子</t>
  </si>
  <si>
    <t>https://www.uta-net.com/song/164069/</t>
  </si>
  <si>
    <t>スターライトパレード</t>
  </si>
  <si>
    <t>https://www.uta-net.com/song/121888/</t>
  </si>
  <si>
    <t>https://www.uta-net.com/song/50850/</t>
  </si>
  <si>
    <t>https://www.uta-net.com/song/46445/</t>
  </si>
  <si>
    <t>https://www.uta-net.com/song/56547/</t>
  </si>
  <si>
    <t>https://www.uta-net.com/song/15002/</t>
  </si>
  <si>
    <t>倍倍FIGHT!</t>
  </si>
  <si>
    <t>CANDY TUNE</t>
  </si>
  <si>
    <t>https://www.uta-net.com/song/358461/</t>
  </si>
  <si>
    <t>https://www.uta-net.com/song/13961/</t>
  </si>
  <si>
    <t>CORE PRIDE</t>
  </si>
  <si>
    <t>https://www.uta-net.com/song/112056/</t>
  </si>
  <si>
    <t>https://www.uta-net.com/song/12255/</t>
  </si>
  <si>
    <t>https://www.uta-net.com/song/4238/</t>
  </si>
  <si>
    <t>SHISHAMO</t>
  </si>
  <si>
    <t>https://www.uta-net.com/song/223193/</t>
  </si>
  <si>
    <t>友 ～旅立ちの時～</t>
  </si>
  <si>
    <t>https://www.uta-net.com/song/152556/</t>
  </si>
  <si>
    <t>ちっぽけな愛のうた</t>
  </si>
  <si>
    <t>小枝理子＆小笠原秋</t>
  </si>
  <si>
    <t>https://www.uta-net.com/song/157116/</t>
  </si>
  <si>
    <t>https://www.uta-net.com/song/12950/</t>
  </si>
  <si>
    <t>365日のラブストーリー。</t>
  </si>
  <si>
    <t>https://www.uta-net.com/song/119070/</t>
  </si>
  <si>
    <t>https://www.uta-net.com/song/84825/</t>
  </si>
  <si>
    <t>https://www.uta-net.com/song/25395/</t>
  </si>
  <si>
    <t>ハルノヒ</t>
  </si>
  <si>
    <t>https://www.uta-net.com/song/265755/</t>
  </si>
  <si>
    <t>ゴーゴー幽霊船</t>
  </si>
  <si>
    <t>https://www.uta-net.com/song/127241/</t>
  </si>
  <si>
    <t>https://www.uta-net.com/song/3382/</t>
  </si>
  <si>
    <t>踊</t>
  </si>
  <si>
    <t>https://www.uta-net.com/song/301298/</t>
  </si>
  <si>
    <t>おやすみ泣き声、さよなら歌姫</t>
  </si>
  <si>
    <t>クリープハイプ</t>
  </si>
  <si>
    <t>https://www.uta-net.com/song/134962/</t>
  </si>
  <si>
    <t>初心LOVE</t>
  </si>
  <si>
    <t>なにわ男子</t>
  </si>
  <si>
    <t>https://www.uta-net.com/song/310518/</t>
  </si>
  <si>
    <t>あいうえおんがく</t>
  </si>
  <si>
    <t>https://www.uta-net.com/song/146115/</t>
  </si>
  <si>
    <t>https://www.uta-net.com/song/53041/</t>
  </si>
  <si>
    <t>https://www.uta-net.com/song/5953/</t>
  </si>
  <si>
    <t>W/X/Y</t>
  </si>
  <si>
    <t>Tani Yuuki</t>
  </si>
  <si>
    <t>https://www.uta-net.com/song/302461/</t>
  </si>
  <si>
    <t>あなたの好きなところ</t>
  </si>
  <si>
    <t>https://www.uta-net.com/song/207074/</t>
  </si>
  <si>
    <t>オトノケ</t>
  </si>
  <si>
    <t>https://www.uta-net.com/song/361347/</t>
  </si>
  <si>
    <t>https://www.uta-net.com/song/49385/</t>
  </si>
  <si>
    <t>https://www.uta-net.com/song/86831/</t>
  </si>
  <si>
    <t>https://www.uta-net.com/song/53770/</t>
  </si>
  <si>
    <t>https://www.uta-net.com/song/19112/</t>
  </si>
  <si>
    <t>STAY TUNE</t>
  </si>
  <si>
    <t>Suchmos</t>
  </si>
  <si>
    <t>https://www.uta-net.com/song/200718/</t>
  </si>
  <si>
    <t>五月の蝿</t>
  </si>
  <si>
    <t>https://www.uta-net.com/song/153602/</t>
  </si>
  <si>
    <t>https://www.uta-net.com/song/1705/</t>
  </si>
  <si>
    <t>シルエット</t>
  </si>
  <si>
    <t>KANA-BOON</t>
  </si>
  <si>
    <t>https://www.uta-net.com/song/174736/</t>
  </si>
  <si>
    <t>不可幸力</t>
  </si>
  <si>
    <t>https://www.uta-net.com/song/280460/</t>
  </si>
  <si>
    <t>https://www.uta-net.com/song/10397/</t>
  </si>
  <si>
    <t>https://www.uta-net.com/song/14722/</t>
  </si>
  <si>
    <t>https://www.uta-net.com/song/14442/</t>
  </si>
  <si>
    <t>https://www.uta-net.com/song/35459/</t>
  </si>
  <si>
    <t>https://www.uta-net.com/song/72597/</t>
  </si>
  <si>
    <t>今夜このまま</t>
  </si>
  <si>
    <t>https://www.uta-net.com/song/256990/</t>
  </si>
  <si>
    <t>時の流れに身をまかせ</t>
  </si>
  <si>
    <t>テレサ・テン</t>
  </si>
  <si>
    <t>https://www.uta-net.com/song/3251/</t>
  </si>
  <si>
    <t>Flamingo</t>
  </si>
  <si>
    <t>https://www.uta-net.com/song/258001/</t>
  </si>
  <si>
    <t>https://www.uta-net.com/song/51215/</t>
  </si>
  <si>
    <t>雪の音</t>
  </si>
  <si>
    <t>https://www.uta-net.com/song/139124/</t>
  </si>
  <si>
    <t>シル・ヴ・プレジデント</t>
  </si>
  <si>
    <t>P丸様。</t>
  </si>
  <si>
    <t>https://www.uta-net.com/song/299665/</t>
  </si>
  <si>
    <t>if</t>
  </si>
  <si>
    <t>https://www.uta-net.com/song/98467/</t>
  </si>
  <si>
    <t>勿忘</t>
  </si>
  <si>
    <t>Awesome City Club</t>
  </si>
  <si>
    <t>https://www.uta-net.com/song/297041/</t>
  </si>
  <si>
    <t>アインシュタインよりディアナ・アグロン</t>
  </si>
  <si>
    <t>なこみく＆めるみお(HKT48)</t>
  </si>
  <si>
    <t>https://www.uta-net.com/song/206311/</t>
  </si>
  <si>
    <t>https://www.uta-net.com/song/859/</t>
  </si>
  <si>
    <t>あとひとつ</t>
  </si>
  <si>
    <t>https://www.uta-net.com/song/96331/</t>
  </si>
  <si>
    <t>https://www.uta-net.com/song/17273/</t>
  </si>
  <si>
    <t>https://www.uta-net.com/song/37350/</t>
  </si>
  <si>
    <t>打上花火</t>
  </si>
  <si>
    <t>DAOKO×米津玄師</t>
  </si>
  <si>
    <t>https://www.uta-net.com/song/234130/</t>
  </si>
  <si>
    <t>https://www.uta-net.com/song/146513/</t>
  </si>
  <si>
    <t>https://www.uta-net.com/song/9307/</t>
  </si>
  <si>
    <t>https://www.uta-net.com/song/5063/</t>
  </si>
  <si>
    <t>https://www.uta-net.com/song/56245/</t>
  </si>
  <si>
    <t>だから僕は音楽を辞めた</t>
  </si>
  <si>
    <t>https://www.uta-net.com/song/265895/</t>
  </si>
  <si>
    <t>かくれんぼ</t>
  </si>
  <si>
    <t>https://www.uta-net.com/song/287890/</t>
  </si>
  <si>
    <t>https://www.uta-net.com/song/8944/</t>
  </si>
  <si>
    <t>https://www.uta-net.com/song/4523/</t>
  </si>
  <si>
    <t>Deeper Deeper</t>
  </si>
  <si>
    <t>https://www.uta-net.com/song/140106/</t>
  </si>
  <si>
    <t>たとえ どんなに...</t>
  </si>
  <si>
    <t>https://www.uta-net.com/song/120390/</t>
  </si>
  <si>
    <t>https://www.uta-net.com/song/36937/</t>
  </si>
  <si>
    <t>MAD HEAD LOVE</t>
  </si>
  <si>
    <t>https://www.uta-net.com/song/153118/</t>
  </si>
  <si>
    <t>365日の紙飛行機</t>
  </si>
  <si>
    <t>AKB48</t>
  </si>
  <si>
    <t>https://www.uta-net.com/song/198805/</t>
  </si>
  <si>
    <t>https://www.uta-net.com/song/35929/</t>
  </si>
  <si>
    <t>https://www.uta-net.com/song/7634/</t>
  </si>
  <si>
    <t>https://www.uta-net.com/song/117620/</t>
  </si>
  <si>
    <t>https://www.uta-net.com/song/26140/</t>
  </si>
  <si>
    <t>https://www.uta-net.com/song/13915/</t>
  </si>
  <si>
    <t>https://www.uta-net.com/song/46942/</t>
  </si>
  <si>
    <t>シンデレラボーイ</t>
  </si>
  <si>
    <t>Saucy Dog</t>
  </si>
  <si>
    <t>https://www.uta-net.com/song/306236/</t>
  </si>
  <si>
    <t>Walking with you</t>
  </si>
  <si>
    <t>Novelbright</t>
  </si>
  <si>
    <t>https://www.uta-net.com/song/256697/</t>
  </si>
  <si>
    <t>私は最強</t>
  </si>
  <si>
    <t>https://www.uta-net.com/song/320568/</t>
  </si>
  <si>
    <t>君の恋人になったら</t>
  </si>
  <si>
    <t>https://www.uta-net.com/song/217166/</t>
  </si>
  <si>
    <t>TT -Japanese ver.-</t>
  </si>
  <si>
    <t>TWICE</t>
  </si>
  <si>
    <t>https://www.uta-net.com/song/231439/</t>
  </si>
  <si>
    <t>いつか</t>
  </si>
  <si>
    <t>https://www.uta-net.com/song/244380/</t>
  </si>
  <si>
    <t>https://www.uta-net.com/song/1630/</t>
  </si>
  <si>
    <t>https://www.uta-net.com/song/81520/</t>
  </si>
  <si>
    <t>わたしの一番かわいいところ</t>
  </si>
  <si>
    <t>FRUITS ZIPPER</t>
  </si>
  <si>
    <t>https://www.uta-net.com/song/323011/</t>
  </si>
  <si>
    <t>https://www.uta-net.com/song/8576/</t>
  </si>
  <si>
    <t>いいから</t>
  </si>
  <si>
    <t>https://www.uta-net.com/song/191388/</t>
  </si>
  <si>
    <t>https://www.uta-net.com/song/79345/</t>
  </si>
  <si>
    <t>https://www.uta-net.com/song/49382/</t>
  </si>
  <si>
    <t>https://www.uta-net.com/song/13971/</t>
  </si>
  <si>
    <t>BANG BANG BANG</t>
  </si>
  <si>
    <t>https://www.uta-net.com/song/201738/</t>
  </si>
  <si>
    <t>https://www.uta-net.com/song/12119/</t>
  </si>
  <si>
    <t>花に亡霊</t>
  </si>
  <si>
    <t>https://www.uta-net.com/song/284491/</t>
  </si>
  <si>
    <t>https://www.uta-net.com/song/13307/</t>
  </si>
  <si>
    <t>https://www.uta-net.com/song/51611/</t>
  </si>
  <si>
    <t>魔法の絨毯</t>
  </si>
  <si>
    <t>川崎鷹也</t>
  </si>
  <si>
    <t>https://www.uta-net.com/song/292378/</t>
  </si>
  <si>
    <t>https://www.uta-net.com/song/76760/</t>
  </si>
  <si>
    <t>https://www.uta-net.com/song/69920/</t>
  </si>
  <si>
    <t>Soup</t>
  </si>
  <si>
    <t>藤原さくら</t>
  </si>
  <si>
    <t>https://www.uta-net.com/song/207371/</t>
  </si>
  <si>
    <t>https://www.uta-net.com/song/72400/</t>
  </si>
  <si>
    <t>繋いだ手から</t>
  </si>
  <si>
    <t>https://www.uta-net.com/song/160780/</t>
  </si>
  <si>
    <t>シュガーソングとビターステップ</t>
  </si>
  <si>
    <t>UNISON SQUARE GARDEN</t>
  </si>
  <si>
    <t>https://www.uta-net.com/song/186190/</t>
  </si>
  <si>
    <t>Hero</t>
  </si>
  <si>
    <t>https://www.uta-net.com/song/211512/</t>
  </si>
  <si>
    <t>https://www.uta-net.com/song/69262/</t>
  </si>
  <si>
    <t>https://www.uta-net.com/song/31/</t>
  </si>
  <si>
    <t>https://www.uta-net.com/song/81090/</t>
  </si>
  <si>
    <t>Plazma</t>
  </si>
  <si>
    <t>https://www.uta-net.com/song/367063/</t>
  </si>
  <si>
    <t>https://www.uta-net.com/song/2978/</t>
  </si>
  <si>
    <t>https://www.uta-net.com/song/22867/</t>
  </si>
  <si>
    <t>https://www.uta-net.com/song/38080/</t>
  </si>
  <si>
    <t>https://www.uta-net.com/song/17904/</t>
  </si>
  <si>
    <t>CITRUS</t>
  </si>
  <si>
    <t>Da-iCE</t>
  </si>
  <si>
    <t>https://www.uta-net.com/song/292678/</t>
  </si>
  <si>
    <t>https://www.uta-net.com/song/12546/</t>
  </si>
  <si>
    <t>ノーダウト</t>
  </si>
  <si>
    <t>https://www.uta-net.com/song/247316/</t>
  </si>
  <si>
    <t>ベイビー・アイラブユー(English Ver.)</t>
  </si>
  <si>
    <t>https://www.uta-net.com/song/119041/</t>
  </si>
  <si>
    <t>https://www.uta-net.com/song/46472/</t>
  </si>
  <si>
    <t>https://www.uta-net.com/song/146/</t>
  </si>
  <si>
    <t>ウタカタララバイ</t>
  </si>
  <si>
    <t>https://www.uta-net.com/song/322805/</t>
  </si>
  <si>
    <t>https://www.uta-net.com/song/42454/</t>
  </si>
  <si>
    <t>涙色</t>
  </si>
  <si>
    <t>https://www.uta-net.com/song/149819/</t>
  </si>
  <si>
    <t>https://www.uta-net.com/song/12076/</t>
  </si>
  <si>
    <t>https://www.uta-net.com/song/83340/</t>
  </si>
  <si>
    <t>https://www.uta-net.com/song/5808/</t>
  </si>
  <si>
    <t>Let It Go ～ありのままで～ (エンドソング)</t>
  </si>
  <si>
    <t>May J.</t>
  </si>
  <si>
    <t>https://www.uta-net.com/song/160390/</t>
  </si>
  <si>
    <t>SUN</t>
  </si>
  <si>
    <t>https://www.uta-net.com/song/186593/</t>
  </si>
  <si>
    <t>勇者</t>
  </si>
  <si>
    <t>https://www.uta-net.com/song/344130/</t>
  </si>
  <si>
    <t>https://www.uta-net.com/song/76295/</t>
  </si>
  <si>
    <t>私以外私じゃないの</t>
  </si>
  <si>
    <t>ゲスの極み乙女</t>
  </si>
  <si>
    <t>https://www.uta-net.com/song/184273/</t>
  </si>
  <si>
    <t>https://www.uta-net.com/song/241036/</t>
  </si>
  <si>
    <t>https://www.uta-net.com/song/195976/</t>
  </si>
  <si>
    <t>https://www.uta-net.com/song/71028/</t>
  </si>
  <si>
    <t>不死鳥</t>
  </si>
  <si>
    <t>https://www.uta-net.com/song/117561/</t>
  </si>
  <si>
    <t>https://www.uta-net.com/song/728/</t>
  </si>
  <si>
    <t>https://www.uta-net.com/song/19103/</t>
  </si>
  <si>
    <t>https://www.uta-net.com/song/14760/</t>
  </si>
  <si>
    <t>https://www.uta-net.com/song/82447/</t>
  </si>
  <si>
    <t>napori</t>
  </si>
  <si>
    <t>https://www.uta-net.com/song/285765/</t>
  </si>
  <si>
    <t>スターラブレイション</t>
  </si>
  <si>
    <t>ケラケラ</t>
  </si>
  <si>
    <t>https://www.uta-net.com/song/144933/</t>
  </si>
  <si>
    <t>https://www.uta-net.com/song/7680/</t>
  </si>
  <si>
    <t>かわいいだけじゃだめですか？</t>
  </si>
  <si>
    <t>CUTIE STREET</t>
  </si>
  <si>
    <t>https://www.uta-net.com/song/362166/</t>
  </si>
  <si>
    <t>My Boo</t>
  </si>
  <si>
    <t>https://www.uta-net.com/song/215906/</t>
  </si>
  <si>
    <t>https://www.uta-net.com/song/19456/</t>
  </si>
  <si>
    <t>Beautiful</t>
  </si>
  <si>
    <t>https://www.uta-net.com/song/186548/</t>
  </si>
  <si>
    <t>明日への手紙</t>
  </si>
  <si>
    <t>https://www.uta-net.com/song/167317/</t>
  </si>
  <si>
    <t>ヒプノシスマイク -Division Battle Anthem-</t>
  </si>
  <si>
    <t>Division All Stars</t>
  </si>
  <si>
    <t>https://www.uta-net.com/song/250525/</t>
  </si>
  <si>
    <t>FLASH</t>
  </si>
  <si>
    <t>Perfume</t>
  </si>
  <si>
    <t>https://www.uta-net.com/song/203491/</t>
  </si>
  <si>
    <t>https://www.uta-net.com/song/26708/</t>
  </si>
  <si>
    <t>ベイビー・アイラブユー</t>
  </si>
  <si>
    <t>TEE</t>
  </si>
  <si>
    <t>https://www.uta-net.com/song/100115/</t>
  </si>
  <si>
    <t>https://www.uta-net.com/song/46535/</t>
  </si>
  <si>
    <t>花鳥風月</t>
  </si>
  <si>
    <t>https://www.uta-net.com/song/117562/</t>
  </si>
  <si>
    <t>https://www.uta-net.com/song/46452/</t>
  </si>
  <si>
    <t>クリス・ハート</t>
  </si>
  <si>
    <t>https://www.uta-net.com/song/158817/</t>
  </si>
  <si>
    <t>平井大</t>
  </si>
  <si>
    <t>https://www.uta-net.com/song/180824/</t>
  </si>
  <si>
    <t>https://www.uta-net.com/song/55129/</t>
  </si>
  <si>
    <t>https://www.uta-net.com/song/32407/</t>
  </si>
  <si>
    <t>https://www.uta-net.com/song/4914/</t>
  </si>
  <si>
    <t>https://www.uta-net.com/song/73311/</t>
  </si>
  <si>
    <t>愛してるのに、愛せない</t>
  </si>
  <si>
    <t>https://www.uta-net.com/song/194081/</t>
  </si>
  <si>
    <t>なんでもないよ、</t>
  </si>
  <si>
    <t>マカロニえんぴつ</t>
  </si>
  <si>
    <t>https://www.uta-net.com/song/309953/</t>
  </si>
  <si>
    <t>ミラクル</t>
  </si>
  <si>
    <t>https://www.uta-net.com/song/144685/</t>
  </si>
  <si>
    <t>賜物</t>
  </si>
  <si>
    <t>https://www.uta-net.com/song/371749/</t>
  </si>
  <si>
    <t>Always</t>
  </si>
  <si>
    <t>https://www.uta-net.com/song/136474/</t>
  </si>
  <si>
    <t>JANE DOE</t>
  </si>
  <si>
    <t>米津玄師, 宇多田ヒカル</t>
  </si>
  <si>
    <t>https://www.uta-net.com/song/380487/</t>
  </si>
  <si>
    <t>笑顔</t>
  </si>
  <si>
    <t>https://www.uta-net.com/song/148359/</t>
  </si>
  <si>
    <t>WanteD! WanteD!</t>
  </si>
  <si>
    <t>https://www.uta-net.com/song/234591/</t>
  </si>
  <si>
    <t>https://www.uta-net.com/song/7366/</t>
  </si>
  <si>
    <t>もっと</t>
  </si>
  <si>
    <t>https://www.uta-net.com/song/204052/</t>
  </si>
  <si>
    <t>https://www.uta-net.com/song/9778/</t>
  </si>
  <si>
    <t>PERFECT HUMAN</t>
  </si>
  <si>
    <t>RADIO FISH</t>
  </si>
  <si>
    <t>https://www.uta-net.com/song/203678/</t>
  </si>
  <si>
    <t>https://www.uta-net.com/song/12384/</t>
  </si>
  <si>
    <t>Y</t>
  </si>
  <si>
    <t>C&amp;K</t>
  </si>
  <si>
    <t>https://www.uta-net.com/song/228415/</t>
  </si>
  <si>
    <t>にじいろ</t>
  </si>
  <si>
    <t>https://www.uta-net.com/song/165037/</t>
  </si>
  <si>
    <t>チェックのワンピース</t>
  </si>
  <si>
    <t>https://www.uta-net.com/song/120940/</t>
  </si>
  <si>
    <t>https://www.uta-net.com/song/35725/</t>
  </si>
  <si>
    <t>https://www.uta-net.com/song/29607/</t>
  </si>
  <si>
    <t>きらり</t>
  </si>
  <si>
    <t>藤井風</t>
  </si>
  <si>
    <t>https://www.uta-net.com/song/301687/</t>
  </si>
  <si>
    <t>https://www.uta-net.com/song/10065/</t>
  </si>
  <si>
    <t>長く短い祭</t>
  </si>
  <si>
    <t>https://www.uta-net.com/song/191240/</t>
  </si>
  <si>
    <t>白雪姫</t>
  </si>
  <si>
    <t>Flower</t>
  </si>
  <si>
    <t>https://www.uta-net.com/song/156256/</t>
  </si>
  <si>
    <t>できっこないを やらなくちゃ</t>
  </si>
  <si>
    <t>サンボマスター</t>
  </si>
  <si>
    <t>https://www.uta-net.com/song/90601/</t>
  </si>
  <si>
    <t>Follow Me</t>
  </si>
  <si>
    <t>E-girls</t>
  </si>
  <si>
    <t>https://www.uta-net.com/song/134453/</t>
  </si>
  <si>
    <t>チルドレンレコード</t>
  </si>
  <si>
    <t>じん</t>
  </si>
  <si>
    <t>https://www.uta-net.com/song/134259/</t>
  </si>
  <si>
    <t>https://www.uta-net.com/song/37109/</t>
  </si>
  <si>
    <t>Mela!</t>
  </si>
  <si>
    <t>緑黄色社会</t>
  </si>
  <si>
    <t>https://www.uta-net.com/song/284572/</t>
  </si>
  <si>
    <t>ハルジオン</t>
  </si>
  <si>
    <t>https://www.uta-net.com/song/285262/</t>
  </si>
  <si>
    <t>https://www.uta-net.com/song/19042/</t>
  </si>
  <si>
    <t>https://www.uta-net.com/song/60443/</t>
  </si>
  <si>
    <t>unravel</t>
  </si>
  <si>
    <t>TK from 凛として時雨</t>
  </si>
  <si>
    <t>https://www.uta-net.com/song/167353/</t>
  </si>
  <si>
    <t>真赤</t>
  </si>
  <si>
    <t>My Hair is Bad</t>
  </si>
  <si>
    <t>https://www.uta-net.com/song/188875/</t>
  </si>
  <si>
    <t>虹色の戦争</t>
  </si>
  <si>
    <t>https://www.uta-net.com/song/99584/</t>
  </si>
  <si>
    <t>イエス</t>
  </si>
  <si>
    <t>https://www.uta-net.com/song/124416/</t>
  </si>
  <si>
    <t>ギラギラ</t>
  </si>
  <si>
    <t>https://www.uta-net.com/song/297951/</t>
  </si>
  <si>
    <t>https://www.uta-net.com/song/46396/</t>
  </si>
  <si>
    <t>https://www.uta-net.com/song/7365/</t>
  </si>
  <si>
    <t>https://www.uta-net.com/song/35368/</t>
  </si>
  <si>
    <t>好きすぎて滅！</t>
  </si>
  <si>
    <t>M!LK</t>
  </si>
  <si>
    <t>https://www.uta-net.com/song/382208/</t>
  </si>
  <si>
    <t>https://www.uta-net.com/song/9146/</t>
  </si>
  <si>
    <t>https://www.uta-net.com/song/8885/</t>
  </si>
  <si>
    <t>HaruHaru -Japanese Version-</t>
  </si>
  <si>
    <t>https://www.uta-net.com/song/122918/</t>
  </si>
  <si>
    <t>ロメオ</t>
  </si>
  <si>
    <t>LIP×LIP</t>
  </si>
  <si>
    <t>https://www.uta-net.com/song/224915/</t>
  </si>
  <si>
    <t>https://www.uta-net.com/song/4308/</t>
  </si>
  <si>
    <t>https://www.uta-net.com/song/5064/</t>
  </si>
  <si>
    <t>https://www.uta-net.com/song/9951/</t>
  </si>
  <si>
    <t>https://www.uta-net.com/song/72586/</t>
  </si>
  <si>
    <t>ダンスホール</t>
  </si>
  <si>
    <t>https://www.uta-net.com/song/319050/</t>
  </si>
  <si>
    <t>逆夢</t>
  </si>
  <si>
    <t>https://www.uta-net.com/song/312609/</t>
  </si>
  <si>
    <t>ブラザービート</t>
  </si>
  <si>
    <t>Snow Man</t>
  </si>
  <si>
    <t>https://www.uta-net.com/song/316571/</t>
  </si>
  <si>
    <t>https://www.uta-net.com/song/82463/</t>
  </si>
  <si>
    <t>vivi</t>
  </si>
  <si>
    <t>https://www.uta-net.com/song/135721/</t>
  </si>
  <si>
    <t>https://www.uta-net.com/song/16784/</t>
  </si>
  <si>
    <t>https://www.uta-net.com/song/12512/</t>
  </si>
  <si>
    <t>https://www.uta-net.com/song/17700/</t>
  </si>
  <si>
    <t>https://www.uta-net.com/song/702/</t>
  </si>
  <si>
    <t>https://www.uta-net.com/song/4877/</t>
  </si>
  <si>
    <t>アイラブユー</t>
  </si>
  <si>
    <t>https://www.uta-net.com/song/326680/</t>
  </si>
  <si>
    <t>ヒッチコック</t>
  </si>
  <si>
    <t>https://www.uta-net.com/song/247424/</t>
  </si>
  <si>
    <t>https://www.uta-net.com/song/2273/</t>
  </si>
  <si>
    <t>つけまつける</t>
  </si>
  <si>
    <t>きゃりーぱみゅぱみゅ</t>
  </si>
  <si>
    <t>https://www.uta-net.com/song/123218/</t>
  </si>
  <si>
    <t>青のすみか</t>
  </si>
  <si>
    <t>キタニタツヤ</t>
  </si>
  <si>
    <t>https://www.uta-net.com/song/340122/</t>
  </si>
  <si>
    <t>https://www.uta-net.com/song/5949/</t>
  </si>
  <si>
    <t>https://www.uta-net.com/song/12541/</t>
  </si>
  <si>
    <t>https://www.uta-net.com/song/70629/</t>
  </si>
  <si>
    <t>https://www.uta-net.com/song/51134/</t>
  </si>
  <si>
    <t>明日はきっといい日になる</t>
  </si>
  <si>
    <t>高橋優</t>
  </si>
  <si>
    <t>https://www.uta-net.com/song/187516/</t>
  </si>
  <si>
    <t>https://www.uta-net.com/song/2864/</t>
  </si>
  <si>
    <t>https://www.uta-net.com/song/74955/</t>
  </si>
  <si>
    <t>https://www.uta-net.com/song/12118/</t>
  </si>
  <si>
    <t>憂、燦々</t>
  </si>
  <si>
    <t>https://www.uta-net.com/song/144771/</t>
  </si>
  <si>
    <t>メトロノーム</t>
  </si>
  <si>
    <t>https://www.uta-net.com/song/195150/</t>
  </si>
  <si>
    <t>あなたへ贈る歌</t>
  </si>
  <si>
    <t>erica</t>
  </si>
  <si>
    <t>https://www.uta-net.com/song/140110/</t>
  </si>
  <si>
    <t>lulu.</t>
  </si>
  <si>
    <t>https://www.uta-net.com/song/386191/</t>
  </si>
  <si>
    <t>天国</t>
  </si>
  <si>
    <t>https://www.uta-net.com/song/372572/</t>
  </si>
  <si>
    <t>あなたがここにいて抱きしめることができるなら</t>
  </si>
  <si>
    <t>https://www.uta-net.com/song/196891/</t>
  </si>
  <si>
    <t>イカロス</t>
  </si>
  <si>
    <t>https://www.uta-net.com/song/144419/</t>
  </si>
  <si>
    <t>https://www.uta-net.com/song/51543/</t>
  </si>
  <si>
    <t>https://www.uta-net.com/song/7362/</t>
  </si>
  <si>
    <t>https://www.uta-net.com/song/43307/</t>
  </si>
  <si>
    <t>みかんハート</t>
  </si>
  <si>
    <t>https://www.uta-net.com/song/154003/</t>
  </si>
  <si>
    <t>アカシア</t>
  </si>
  <si>
    <t>https://www.uta-net.com/song/291668/</t>
  </si>
  <si>
    <t>https://www.uta-net.com/song/2452/</t>
  </si>
  <si>
    <t>夜咄ディセイブ</t>
  </si>
  <si>
    <t>https://www.uta-net.com/song/147223/</t>
  </si>
  <si>
    <t>https://www.uta-net.com/song/67698/</t>
  </si>
  <si>
    <t>https://www.uta-net.com/song/7669/</t>
  </si>
  <si>
    <t>https://www.uta-net.com/song/19170/</t>
  </si>
  <si>
    <t>サムライハート(Some Like It Hot!!)</t>
  </si>
  <si>
    <t>SPYAIR</t>
  </si>
  <si>
    <t>https://www.uta-net.com/song/111643/</t>
  </si>
  <si>
    <t>とくべチュ、して</t>
  </si>
  <si>
    <t>=LOVE</t>
  </si>
  <si>
    <t>https://www.uta-net.com/song/368288/</t>
  </si>
  <si>
    <t>Esperanza</t>
  </si>
  <si>
    <t>https://www.uta-net.com/song/112125/</t>
  </si>
  <si>
    <t>https://www.uta-net.com/song/73295/</t>
  </si>
  <si>
    <t>https://www.uta-net.com/song/10387/</t>
  </si>
  <si>
    <t>https://www.uta-net.com/song/7263/</t>
  </si>
  <si>
    <t>花は咲く</t>
  </si>
  <si>
    <t>花は咲くプロジェクト</t>
  </si>
  <si>
    <t>https://www.uta-net.com/song/127861/</t>
  </si>
  <si>
    <t>恋人ごっこ</t>
  </si>
  <si>
    <t>https://www.uta-net.com/song/281357/</t>
  </si>
  <si>
    <t>花束のかわりにメロディーを</t>
  </si>
  <si>
    <t>https://www.uta-net.com/song/196361/</t>
  </si>
  <si>
    <t>https://www.uta-net.com/song/4786/</t>
  </si>
  <si>
    <t>https://www.uta-net.com/song/75987/</t>
  </si>
  <si>
    <t>カイト</t>
  </si>
  <si>
    <t>https://www.uta-net.com/song/288558/</t>
  </si>
  <si>
    <t>美しい鰭</t>
  </si>
  <si>
    <t>https://www.uta-net.com/song/335801/</t>
  </si>
  <si>
    <t>https://www.uta-net.com/song/18475/</t>
  </si>
  <si>
    <t>私たちは絶対に絶対にヨリを戻したりしない～We Are Never Ever Getting Back Together (Japanese Ver.)</t>
  </si>
  <si>
    <t>MACO</t>
  </si>
  <si>
    <t>https://www.uta-net.com/song/162871/</t>
  </si>
  <si>
    <t>GUTS!</t>
  </si>
  <si>
    <t>https://www.uta-net.com/song/163264/</t>
  </si>
  <si>
    <t>https://www.uta-net.com/song/9054/</t>
  </si>
  <si>
    <t>Let It Go</t>
  </si>
  <si>
    <t>イディナ・メンゼル</t>
  </si>
  <si>
    <t>https://www.uta-net.com/song/164072/</t>
  </si>
  <si>
    <t>https://www.uta-net.com/song/13699/</t>
  </si>
  <si>
    <t>https://www.uta-net.com/song/85467/</t>
  </si>
  <si>
    <t>炎と森のカーニバル</t>
  </si>
  <si>
    <t>https://www.uta-net.com/song/162361/</t>
  </si>
  <si>
    <t>Love You More</t>
  </si>
  <si>
    <t>GENERATIONS</t>
  </si>
  <si>
    <t>https://www.uta-net.com/song/145982/</t>
  </si>
  <si>
    <t>https://www.uta-net.com/song/172655/</t>
  </si>
  <si>
    <t>この夜を止めてよ</t>
  </si>
  <si>
    <t>https://www.uta-net.com/song/102354/</t>
  </si>
  <si>
    <t>イマジネーション</t>
  </si>
  <si>
    <t>https://www.uta-net.com/song/161018/</t>
  </si>
  <si>
    <t>https://www.uta-net.com/song/2568/</t>
  </si>
  <si>
    <t>好きだ。</t>
  </si>
  <si>
    <t>Little Glee Monster</t>
  </si>
  <si>
    <t>https://www.uta-net.com/song/194130/</t>
  </si>
  <si>
    <t>輝く月のように</t>
  </si>
  <si>
    <t>https://www.uta-net.com/song/133510/</t>
  </si>
  <si>
    <t>https://www.uta-net.com/song/52084/</t>
  </si>
  <si>
    <t>それを愛と呼ぶなら</t>
  </si>
  <si>
    <t>https://www.uta-net.com/song/317107/</t>
  </si>
  <si>
    <t>https://www.uta-net.com/song/46447/</t>
  </si>
  <si>
    <t>https://www.uta-net.com/song/2203/</t>
  </si>
  <si>
    <t>https://www.uta-net.com/song/25764/</t>
  </si>
  <si>
    <t>https://www.uta-net.com/song/44398/</t>
  </si>
  <si>
    <t>https://www.uta-net.com/song/16528/</t>
  </si>
  <si>
    <t>阿修羅ちゃん</t>
  </si>
  <si>
    <t>https://www.uta-net.com/song/309074/</t>
  </si>
  <si>
    <t>タカラモノ～この声がなくなるまで～</t>
  </si>
  <si>
    <t>ナオト・インティライミ</t>
  </si>
  <si>
    <t>https://www.uta-net.com/song/93899/</t>
  </si>
  <si>
    <t>https://www.uta-net.com/song/76761/</t>
  </si>
  <si>
    <t>https://www.uta-net.com/song/13991/</t>
  </si>
  <si>
    <t>幾億光年</t>
  </si>
  <si>
    <t>Omoinotake</t>
  </si>
  <si>
    <t>https://www.uta-net.com/song/349054/</t>
  </si>
  <si>
    <t>https://www.uta-net.com/song/10469/</t>
  </si>
  <si>
    <t>https://www.uta-net.com/song/9851/</t>
  </si>
  <si>
    <t>https://www.uta-net.com/song/10378/</t>
  </si>
  <si>
    <t>https://www.uta-net.com/song/77957/</t>
  </si>
  <si>
    <t>Wasted Nights</t>
  </si>
  <si>
    <t>https://www.uta-net.com/song/262610/</t>
  </si>
  <si>
    <t>https://www.uta-net.com/song/8431/</t>
  </si>
  <si>
    <t>https://www.uta-net.com/song/21116/</t>
  </si>
  <si>
    <t>爆裂愛してる</t>
  </si>
  <si>
    <t>https://www.uta-net.com/song/387849/</t>
  </si>
  <si>
    <t>https://www.uta-net.com/song/8883/</t>
  </si>
  <si>
    <t>https://www.uta-net.com/song/3810/</t>
  </si>
  <si>
    <t>潮騒のメモリー</t>
  </si>
  <si>
    <t>天野春子(小泉今日子)</t>
  </si>
  <si>
    <t>https://www.uta-net.com/song/150206/</t>
  </si>
  <si>
    <t>スパークル</t>
  </si>
  <si>
    <t>幾田りら</t>
  </si>
  <si>
    <t>https://www.uta-net.com/song/313165/</t>
  </si>
  <si>
    <t>つぐない</t>
  </si>
  <si>
    <t>https://www.uta-net.com/song/3105/</t>
  </si>
  <si>
    <t>https://www.uta-net.com/song/41434/</t>
  </si>
  <si>
    <t>https://www.uta-net.com/song/86389/</t>
  </si>
  <si>
    <t>生きていたんだよな</t>
  </si>
  <si>
    <t>https://www.uta-net.com/song/217908/</t>
  </si>
  <si>
    <t>https://www.uta-net.com/song/101879/</t>
  </si>
  <si>
    <t>24karats TRIBE OF GOLD</t>
  </si>
  <si>
    <t>EXILE TRIBE</t>
  </si>
  <si>
    <t>https://www.uta-net.com/song/134017/</t>
  </si>
  <si>
    <t>https://www.uta-net.com/song/10184/</t>
  </si>
  <si>
    <t>LOVE SONG</t>
  </si>
  <si>
    <t>https://www.uta-net.com/song/112529/</t>
  </si>
  <si>
    <t>https://www.uta-net.com/song/128107/</t>
  </si>
  <si>
    <t>https://www.uta-net.com/song/8564/</t>
  </si>
  <si>
    <t>大切な君へ</t>
  </si>
  <si>
    <t>井上苑子</t>
  </si>
  <si>
    <t>https://www.uta-net.com/song/187300/</t>
  </si>
  <si>
    <t>未完成</t>
  </si>
  <si>
    <t>https://www.uta-net.com/song/280621/</t>
  </si>
  <si>
    <t>君と夏フェス</t>
  </si>
  <si>
    <t>https://www.uta-net.com/song/166440/</t>
  </si>
  <si>
    <t>https://www.uta-net.com/song/12859/</t>
  </si>
  <si>
    <t>きらきら星</t>
  </si>
  <si>
    <t>カノン</t>
  </si>
  <si>
    <t>https://www.uta-net.com/song/175907/</t>
  </si>
  <si>
    <t>https://www.uta-net.com/song/2565/</t>
  </si>
  <si>
    <t>https://www.uta-net.com/song/67447/</t>
  </si>
  <si>
    <t>ヒプノシスマイク -Division Battle Anthem- +</t>
  </si>
  <si>
    <t>https://www.uta-net.com/song/283673/</t>
  </si>
  <si>
    <t>君って</t>
  </si>
  <si>
    <t>https://www.uta-net.com/song/102696/</t>
  </si>
  <si>
    <t>https://www.uta-net.com/song/40908/</t>
  </si>
  <si>
    <t>https://www.uta-net.com/song/1127/</t>
  </si>
  <si>
    <t>はいよろこんで</t>
  </si>
  <si>
    <t>こっちのけんと</t>
  </si>
  <si>
    <t>https://www.uta-net.com/song/359864/</t>
  </si>
  <si>
    <t>https://www.uta-net.com/song/24757/</t>
  </si>
  <si>
    <t>https://www.uta-net.com/song/69942/</t>
  </si>
  <si>
    <t>不協和音</t>
  </si>
  <si>
    <t>https://www.uta-net.com/song/227214/</t>
  </si>
  <si>
    <t>https://www.uta-net.com/song/7632/</t>
  </si>
  <si>
    <t>スーパースターになったら</t>
  </si>
  <si>
    <t>https://www.uta-net.com/song/120942/</t>
  </si>
  <si>
    <t>さよなら</t>
  </si>
  <si>
    <t>https://www.uta-net.com/song/153115/</t>
  </si>
  <si>
    <t>https://www.uta-net.com/song/24311/</t>
  </si>
  <si>
    <t>https://www.uta-net.com/song/75768/</t>
  </si>
  <si>
    <t>海の声</t>
  </si>
  <si>
    <t>https://www.uta-net.com/song/196307/</t>
  </si>
  <si>
    <t>Monster</t>
  </si>
  <si>
    <t>https://www.uta-net.com/song/94835/</t>
  </si>
  <si>
    <t>海の幽霊</t>
  </si>
  <si>
    <t>https://www.uta-net.com/song/268602/</t>
  </si>
  <si>
    <t>じぶんROCK</t>
  </si>
  <si>
    <t>https://www.uta-net.com/song/93095/</t>
  </si>
  <si>
    <t>https://www.uta-net.com/song/12633/</t>
  </si>
  <si>
    <t>ワイルド アット ハート</t>
  </si>
  <si>
    <t>https://www.uta-net.com/song/126631/</t>
  </si>
  <si>
    <t>https://www.uta-net.com/song/3315/</t>
  </si>
  <si>
    <t>狂乱 Hey Kids!!</t>
  </si>
  <si>
    <t>THE ORAL CIGARETTES</t>
  </si>
  <si>
    <t>https://www.uta-net.com/song/195411/</t>
  </si>
  <si>
    <t>https://www.uta-net.com/song/44075/</t>
  </si>
  <si>
    <t>https://www.uta-net.com/song/9879/</t>
  </si>
  <si>
    <t>Silly</t>
  </si>
  <si>
    <t>https://www.uta-net.com/song/172084/</t>
  </si>
  <si>
    <t>https://www.uta-net.com/song/76632/</t>
  </si>
  <si>
    <t>天使と悪魔</t>
  </si>
  <si>
    <t>https://www.uta-net.com/song/104108/</t>
  </si>
  <si>
    <t>https://www.uta-net.com/song/74305/</t>
  </si>
  <si>
    <t>https://www.uta-net.com/song/13244/</t>
  </si>
  <si>
    <t>https://www.uta-net.com/song/12540/</t>
  </si>
  <si>
    <t>https://www.uta-net.com/song/37104/</t>
  </si>
  <si>
    <t>https://www.uta-net.com/song/11427/</t>
  </si>
  <si>
    <t>https://www.uta-net.com/song/12172/</t>
  </si>
  <si>
    <t>https://www.uta-net.com/song/11022/</t>
  </si>
  <si>
    <t>https://www.uta-net.com/song/44143/</t>
  </si>
  <si>
    <t>https://www.uta-net.com/song/9574/</t>
  </si>
  <si>
    <t>https://www.uta-net.com/song/4861/</t>
  </si>
  <si>
    <t>https://www.uta-net.com/song/73972/</t>
  </si>
  <si>
    <t>https://www.uta-net.com/song/51128/</t>
  </si>
  <si>
    <t>https://www.uta-net.com/song/54998/</t>
  </si>
  <si>
    <t>https://www.uta-net.com/song/3328/</t>
  </si>
  <si>
    <t>砂の惑星 ( + 初音ミク)</t>
  </si>
  <si>
    <t>https://www.uta-net.com/song/238736/</t>
  </si>
  <si>
    <t>ぎゅっと。</t>
  </si>
  <si>
    <t>もさを。</t>
  </si>
  <si>
    <t>https://www.uta-net.com/song/288046/</t>
  </si>
  <si>
    <t>新しい恋人達に</t>
  </si>
  <si>
    <t>https://www.uta-net.com/song/357140/</t>
  </si>
  <si>
    <t>ロマンチシズム</t>
  </si>
  <si>
    <t>https://www.uta-net.com/song/265825/</t>
  </si>
  <si>
    <t>https://www.uta-net.com/song/37111/</t>
  </si>
  <si>
    <t>夜の踊り子</t>
  </si>
  <si>
    <t>https://www.uta-net.com/song/134351/</t>
  </si>
  <si>
    <t>シグナル</t>
  </si>
  <si>
    <t>https://www.uta-net.com/song/242535/</t>
  </si>
  <si>
    <t>きょういくばんぐみのテーマ</t>
  </si>
  <si>
    <t>やみの おねえさん</t>
  </si>
  <si>
    <t>https://www.uta-net.com/song/369386/</t>
  </si>
  <si>
    <t>https://www.uta-net.com/song/1420/</t>
  </si>
  <si>
    <t>https://www.uta-net.com/song/12626/</t>
  </si>
  <si>
    <t>ミュージック</t>
  </si>
  <si>
    <t>https://www.uta-net.com/song/140580/</t>
  </si>
  <si>
    <t>https://www.uta-net.com/song/4558/</t>
  </si>
  <si>
    <t>https://www.uta-net.com/song/1432/</t>
  </si>
  <si>
    <t>THANX</t>
  </si>
  <si>
    <t>https://www.uta-net.com/song/196257/</t>
  </si>
  <si>
    <t>https://www.uta-net.com/song/38465/</t>
  </si>
  <si>
    <t>https://www.uta-net.com/song/81111/</t>
  </si>
  <si>
    <t>第ゼロ感</t>
  </si>
  <si>
    <t>10-FEET</t>
  </si>
  <si>
    <t>https://www.uta-net.com/song/327692/</t>
  </si>
  <si>
    <t>C.O.S.M.O.S. ～秋桜～</t>
  </si>
  <si>
    <t>https://www.uta-net.com/song/170803/</t>
  </si>
  <si>
    <t>C.h.a.o.s.m.y.t.h.</t>
  </si>
  <si>
    <t>https://www.uta-net.com/song/119940/</t>
  </si>
  <si>
    <t>https://www.uta-net.com/song/20399/</t>
  </si>
  <si>
    <t>https://www.uta-net.com/song/24840/</t>
  </si>
  <si>
    <t>https://www.uta-net.com/song/10398/</t>
  </si>
  <si>
    <t>https://www.uta-net.com/song/43861/</t>
  </si>
  <si>
    <t>https://www.uta-net.com/song/128/</t>
  </si>
  <si>
    <t>https://www.uta-net.com/song/15107/</t>
  </si>
  <si>
    <t>メランコリーキッチン</t>
  </si>
  <si>
    <t>https://www.uta-net.com/song/162134/</t>
  </si>
  <si>
    <t>サヨナラの意味</t>
  </si>
  <si>
    <t>乃木坂46</t>
  </si>
  <si>
    <t>https://www.uta-net.com/song/218128/</t>
  </si>
  <si>
    <t>https://www.uta-net.com/song/12810/</t>
  </si>
  <si>
    <t>https://www.uta-net.com/song/12573/</t>
  </si>
  <si>
    <t>魔法って言っていいかな？</t>
  </si>
  <si>
    <t>https://www.uta-net.com/song/209778/</t>
  </si>
  <si>
    <t>レオ</t>
  </si>
  <si>
    <t>https://www.uta-net.com/song/312810/</t>
  </si>
  <si>
    <t>https://www.uta-net.com/song/10887/</t>
  </si>
  <si>
    <t>https://www.uta-net.com/song/64810/</t>
  </si>
  <si>
    <t>https://www.uta-net.com/song/42197/</t>
  </si>
  <si>
    <t>https://www.uta-net.com/song/443/</t>
  </si>
  <si>
    <t>Summer Madness feat. Afrojack</t>
  </si>
  <si>
    <t>https://www.uta-net.com/song/189725/</t>
  </si>
  <si>
    <t>粛聖!!ロリ神レクイエム☆</t>
  </si>
  <si>
    <t>しぐれうい</t>
  </si>
  <si>
    <t>https://www.uta-net.com/song/327063/</t>
  </si>
  <si>
    <t>https://www.uta-net.com/song/15586/</t>
  </si>
  <si>
    <t>https://www.uta-net.com/song/16279/</t>
  </si>
  <si>
    <t>歩いていこう</t>
  </si>
  <si>
    <t>https://www.uta-net.com/song/121734/</t>
  </si>
  <si>
    <t>https://www.uta-net.com/song/2819/</t>
  </si>
  <si>
    <t>竈門炭治郎のうた</t>
  </si>
  <si>
    <t>椎名豪 featuring 中川奈美</t>
  </si>
  <si>
    <t>https://www.uta-net.com/song/273058/</t>
  </si>
  <si>
    <t>いとしすぎてduet with Tiara</t>
  </si>
  <si>
    <t>KG</t>
  </si>
  <si>
    <t>https://www.uta-net.com/song/89270/</t>
  </si>
  <si>
    <t>ヒプノシスマイク -Division Rap Battle- +</t>
  </si>
  <si>
    <t>https://www.uta-net.com/song/275263/</t>
  </si>
  <si>
    <t>https://www.uta-net.com/song/4296/</t>
  </si>
  <si>
    <t>Slow &amp; Easy</t>
  </si>
  <si>
    <t>https://www.uta-net.com/song/185432/</t>
  </si>
  <si>
    <t>koi-wazurai</t>
  </si>
  <si>
    <t>https://www.uta-net.com/song/273184/</t>
  </si>
  <si>
    <t>No.1</t>
  </si>
  <si>
    <t>https://www.uta-net.com/song/197400/</t>
  </si>
  <si>
    <t>https://www.uta-net.com/song/3326/</t>
  </si>
  <si>
    <t>ずうっといっしょ！</t>
  </si>
  <si>
    <t>https://www.uta-net.com/song/354330/</t>
  </si>
  <si>
    <t>花唄</t>
  </si>
  <si>
    <t>https://www.uta-net.com/song/114834/</t>
  </si>
  <si>
    <t>https://www.uta-net.com/song/72268/</t>
  </si>
  <si>
    <t>I NEED U (Japanese Ver.)</t>
  </si>
  <si>
    <t>BTS</t>
  </si>
  <si>
    <t>https://www.uta-net.com/song/197981/</t>
  </si>
  <si>
    <t>女の子は泣かない</t>
  </si>
  <si>
    <t>片平里菜</t>
  </si>
  <si>
    <t>https://www.uta-net.com/song/154223/</t>
  </si>
  <si>
    <t>おとなの掟</t>
  </si>
  <si>
    <t>Doughnuts Hole</t>
  </si>
  <si>
    <t>https://www.uta-net.com/song/223808/</t>
  </si>
  <si>
    <t>助演女優症2</t>
  </si>
  <si>
    <t>https://www.uta-net.com/song/195482/</t>
  </si>
  <si>
    <t>ストーカーの唄～3丁目、貴方の家～</t>
  </si>
  <si>
    <t>https://www.uta-net.com/song/112871/</t>
  </si>
  <si>
    <t>パジャマパーティーズのうた</t>
  </si>
  <si>
    <t>パジャマパーティーズ</t>
  </si>
  <si>
    <t>https://www.uta-net.com/song/350837/</t>
  </si>
  <si>
    <t>君の彼氏になりたい。</t>
  </si>
  <si>
    <t>https://www.uta-net.com/song/291867/</t>
  </si>
  <si>
    <t>BOW AND ARROW</t>
  </si>
  <si>
    <t>https://www.uta-net.com/song/367563/</t>
  </si>
  <si>
    <t>https://www.uta-net.com/song/19544/</t>
  </si>
  <si>
    <t>https://www.uta-net.com/song/87276/</t>
  </si>
  <si>
    <t>https://www.uta-net.com/song/8030/</t>
  </si>
  <si>
    <t>まだ君は知らない MY PRETTIEST GIRL</t>
  </si>
  <si>
    <t>Nissy(西島隆弘)</t>
  </si>
  <si>
    <t>https://www.uta-net.com/song/211288/</t>
  </si>
  <si>
    <t>ちゅ、多様性。</t>
  </si>
  <si>
    <t>ano</t>
  </si>
  <si>
    <t>https://www.uta-net.com/song/328492/</t>
  </si>
  <si>
    <t>逆光</t>
  </si>
  <si>
    <t>https://www.uta-net.com/song/321128/</t>
  </si>
  <si>
    <t>あの夢をなぞって</t>
  </si>
  <si>
    <t>https://www.uta-net.com/song/284749/</t>
  </si>
  <si>
    <t>https://www.uta-net.com/song/9407/</t>
  </si>
  <si>
    <t>ブルーアンバー</t>
  </si>
  <si>
    <t>https://www.uta-net.com/song/372195/</t>
  </si>
  <si>
    <t>https://www.uta-net.com/song/79563/</t>
  </si>
  <si>
    <t>https://www.uta-net.com/song/117627/</t>
  </si>
  <si>
    <t>https://www.uta-net.com/song/13990/</t>
  </si>
  <si>
    <t>https://www.uta-net.com/song/9063/</t>
  </si>
  <si>
    <t>https://www.uta-net.com/song/35439/</t>
  </si>
  <si>
    <t>会心の一撃</t>
  </si>
  <si>
    <t>https://www.uta-net.com/song/156600/</t>
  </si>
  <si>
    <t>https://www.uta-net.com/song/5119/</t>
  </si>
  <si>
    <t>https://www.uta-net.com/song/54897/</t>
  </si>
  <si>
    <t>https://www.uta-net.com/song/13974/</t>
  </si>
  <si>
    <t>https://www.uta-net.com/song/12645/</t>
  </si>
  <si>
    <t>https://www.uta-net.com/song/2951/</t>
  </si>
  <si>
    <t>ぬくもり</t>
  </si>
  <si>
    <t>平浩二</t>
  </si>
  <si>
    <t>https://www.uta-net.com/song/185532/</t>
  </si>
  <si>
    <t>https://www.uta-net.com/song/2899/</t>
  </si>
  <si>
    <t>あったかいんだからぁ♪</t>
  </si>
  <si>
    <t>クマムシ</t>
  </si>
  <si>
    <t>https://www.uta-net.com/song/178814/</t>
  </si>
  <si>
    <t>ホール・ニュー・ワールド</t>
  </si>
  <si>
    <t>中村倫也＆木下晴香</t>
  </si>
  <si>
    <t>https://www.uta-net.com/song/270356/</t>
  </si>
  <si>
    <t>https://www.uta-net.com/song/5649/</t>
  </si>
  <si>
    <t>RAIN</t>
  </si>
  <si>
    <t>https://www.uta-net.com/song/231967/</t>
  </si>
  <si>
    <t>LOVE</t>
  </si>
  <si>
    <t>https://www.uta-net.com/song/182846/</t>
  </si>
  <si>
    <t>https://www.uta-net.com/song/11561/</t>
  </si>
  <si>
    <t>https://www.uta-net.com/song/8953/</t>
  </si>
  <si>
    <t>https://www.uta-net.com/song/63398/</t>
  </si>
  <si>
    <t>Rain</t>
  </si>
  <si>
    <t>https://www.uta-net.com/song/146922/</t>
  </si>
  <si>
    <t>https://www.uta-net.com/song/71036/</t>
  </si>
  <si>
    <t>Mighty Long Fall</t>
  </si>
  <si>
    <t>https://www.uta-net.com/song/167565/</t>
  </si>
  <si>
    <t>Eeny, meeny, miny, moe!</t>
  </si>
  <si>
    <t>https://www.uta-net.com/song/178974/</t>
  </si>
  <si>
    <t>https://www.uta-net.com/song/53981/</t>
  </si>
  <si>
    <t>https://www.uta-net.com/song/880/</t>
  </si>
  <si>
    <t>One Last Kiss</t>
  </si>
  <si>
    <t>https://www.uta-net.com/song/298948/</t>
  </si>
  <si>
    <t>https://www.uta-net.com/song/51304/</t>
  </si>
  <si>
    <t>言って。</t>
  </si>
  <si>
    <t>https://www.uta-net.com/song/232389/</t>
  </si>
  <si>
    <t>Teenager Forever</t>
  </si>
  <si>
    <t>https://www.uta-net.com/song/279434/</t>
  </si>
  <si>
    <t>色彩</t>
  </si>
  <si>
    <t>坂本真綾</t>
  </si>
  <si>
    <t>https://www.uta-net.com/song/179129/</t>
  </si>
  <si>
    <t>https://www.uta-net.com/song/25718/</t>
  </si>
  <si>
    <t>あなたとトゥラッタッタ♪</t>
  </si>
  <si>
    <t>https://www.uta-net.com/song/256261/</t>
  </si>
  <si>
    <t>Never Grow Up</t>
  </si>
  <si>
    <t>ちゃんみな</t>
  </si>
  <si>
    <t>https://www.uta-net.com/song/270852/</t>
  </si>
  <si>
    <t>https://www.uta-net.com/song/36334/</t>
  </si>
  <si>
    <t>だいすき。</t>
  </si>
  <si>
    <t>https://www.uta-net.com/song/195756/</t>
  </si>
  <si>
    <t>サザンカ</t>
  </si>
  <si>
    <t>https://www.uta-net.com/song/242521/</t>
  </si>
  <si>
    <t>大丈夫</t>
  </si>
  <si>
    <t>https://www.uta-net.com/song/92348/</t>
  </si>
  <si>
    <t>https://www.uta-net.com/song/58476/</t>
  </si>
  <si>
    <t>Blue Jeans</t>
  </si>
  <si>
    <t>https://www.uta-net.com/song/376513/</t>
  </si>
  <si>
    <t>https://www.uta-net.com/song/84248/</t>
  </si>
  <si>
    <t>指輪と合鍵。feat. Ai from RSP</t>
  </si>
  <si>
    <t>https://www.uta-net.com/song/116807/</t>
  </si>
  <si>
    <t>イロトリドリ</t>
  </si>
  <si>
    <t>https://www.uta-net.com/song/145769/</t>
  </si>
  <si>
    <t>chAngE</t>
  </si>
  <si>
    <t>https://www.uta-net.com/song/99347/</t>
  </si>
  <si>
    <t>そっけない</t>
  </si>
  <si>
    <t>https://www.uta-net.com/song/260336/</t>
  </si>
  <si>
    <t>閃光</t>
  </si>
  <si>
    <t>https://www.uta-net.com/song/301740/</t>
  </si>
  <si>
    <t>D.D.</t>
  </si>
  <si>
    <t>https://www.uta-net.com/song/280568/</t>
  </si>
  <si>
    <t>https://www.uta-net.com/song/1495/</t>
  </si>
  <si>
    <t>U.S.A.</t>
  </si>
  <si>
    <t>https://www.uta-net.com/song/250345/</t>
  </si>
  <si>
    <t>https://www.uta-net.com/song/4854/</t>
  </si>
  <si>
    <t>https://www.uta-net.com/song/4057/</t>
  </si>
  <si>
    <t>stay with me</t>
  </si>
  <si>
    <t>https://www.uta-net.com/song/135635/</t>
  </si>
  <si>
    <t>https://www.uta-net.com/song/42626/</t>
  </si>
  <si>
    <t>https://www.uta-net.com/song/85740/</t>
  </si>
  <si>
    <t>https://www.uta-net.com/song/2774/</t>
  </si>
  <si>
    <t>https://www.uta-net.com/song/4529/</t>
  </si>
  <si>
    <t>https://www.uta-net.com/song/71033/</t>
  </si>
  <si>
    <t>恋する季節</t>
  </si>
  <si>
    <t>https://www.uta-net.com/song/144495/</t>
  </si>
  <si>
    <t>https://www.uta-net.com/song/1080/</t>
  </si>
  <si>
    <t>https://www.uta-net.com/song/11994/</t>
  </si>
  <si>
    <t>半透明人間</t>
  </si>
  <si>
    <t>https://www.uta-net.com/song/113822/</t>
  </si>
  <si>
    <t>Stand by me, Stand by you.</t>
  </si>
  <si>
    <t>https://www.uta-net.com/song/290333/</t>
  </si>
  <si>
    <t>https://www.uta-net.com/song/123/</t>
  </si>
  <si>
    <t>Love the warz</t>
  </si>
  <si>
    <t>https://www.uta-net.com/song/132571/</t>
  </si>
  <si>
    <t>https://www.uta-net.com/song/18170/</t>
  </si>
  <si>
    <t>祝福</t>
  </si>
  <si>
    <t>https://www.uta-net.com/song/325674/</t>
  </si>
  <si>
    <t>https://www.uta-net.com/song/86843/</t>
  </si>
  <si>
    <t>https://www.uta-net.com/song/10341/</t>
  </si>
  <si>
    <t>幻の命</t>
  </si>
  <si>
    <t>https://www.uta-net.com/song/94091/</t>
  </si>
  <si>
    <t>https://www.uta-net.com/song/1311/</t>
  </si>
  <si>
    <t>プレゼント</t>
  </si>
  <si>
    <t>https://www.uta-net.com/song/194595/</t>
  </si>
  <si>
    <t>7th Trigger</t>
  </si>
  <si>
    <t>https://www.uta-net.com/song/127240/</t>
  </si>
  <si>
    <t>https://www.uta-net.com/song/37330/</t>
  </si>
  <si>
    <t>https://www.uta-net.com/song/1753/</t>
  </si>
  <si>
    <t>ツキミソウ</t>
  </si>
  <si>
    <t>https://www.uta-net.com/song/295112/</t>
  </si>
  <si>
    <t>https://www.uta-net.com/song/19052/</t>
  </si>
  <si>
    <t>https://www.uta-net.com/song/55539/</t>
  </si>
  <si>
    <t>https://www.uta-net.com/song/9440/</t>
  </si>
  <si>
    <t>https://www.uta-net.com/song/18400/</t>
  </si>
  <si>
    <t>真夏の通り雨</t>
  </si>
  <si>
    <t>https://www.uta-net.com/song/206486/</t>
  </si>
  <si>
    <t>Rising Sun</t>
  </si>
  <si>
    <t>https://www.uta-net.com/song/117174/</t>
  </si>
  <si>
    <t>https://www.uta-net.com/song/2752/</t>
  </si>
  <si>
    <t>https://www.uta-net.com/song/25408/</t>
  </si>
  <si>
    <t>Distance</t>
  </si>
  <si>
    <t>https://www.uta-net.com/song/107140/</t>
  </si>
  <si>
    <t>https://www.uta-net.com/song/9246/</t>
  </si>
  <si>
    <t>https://www.uta-net.com/song/3408/</t>
  </si>
  <si>
    <t>君に贈る歌 ～Song For You</t>
  </si>
  <si>
    <t>https://www.uta-net.com/song/180016/</t>
  </si>
  <si>
    <t>ぎゅっと</t>
  </si>
  <si>
    <t>Sexy Zone</t>
  </si>
  <si>
    <t>https://www.uta-net.com/song/237363/</t>
  </si>
  <si>
    <t>https://www.uta-net.com/song/25976/</t>
  </si>
  <si>
    <t>それはやっぱり君でした</t>
  </si>
  <si>
    <t>https://www.uta-net.com/song/137375/</t>
  </si>
  <si>
    <t>https://www.uta-net.com/song/8737/</t>
  </si>
  <si>
    <t>https://www.uta-net.com/song/68618/</t>
  </si>
  <si>
    <t>Gee</t>
  </si>
  <si>
    <t>少女時代</t>
  </si>
  <si>
    <t>https://www.uta-net.com/song/103255/</t>
  </si>
  <si>
    <t>ふたりの世界</t>
  </si>
  <si>
    <t>https://www.uta-net.com/song/235598/</t>
  </si>
  <si>
    <t>Hello,world!</t>
  </si>
  <si>
    <t>https://www.uta-net.com/song/184429/</t>
  </si>
  <si>
    <t>ツキヨミ</t>
  </si>
  <si>
    <t>https://www.uta-net.com/song/327577/</t>
  </si>
  <si>
    <t>https://www.uta-net.com/song/12499/</t>
  </si>
  <si>
    <t>https://www.uta-net.com/song/13297/</t>
  </si>
  <si>
    <t>https://www.uta-net.com/song/2137/</t>
  </si>
  <si>
    <t>Lovers</t>
  </si>
  <si>
    <t>sumika</t>
  </si>
  <si>
    <t>https://www.uta-net.com/song/214658/</t>
  </si>
  <si>
    <t>https://www.uta-net.com/song/12493/</t>
  </si>
  <si>
    <t>https://www.uta-net.com/song/950/</t>
  </si>
  <si>
    <t>https://www.uta-net.com/song/10159/</t>
  </si>
  <si>
    <t>https://www.uta-net.com/song/8616/</t>
  </si>
  <si>
    <t>https://www.uta-net.com/song/13252/</t>
  </si>
  <si>
    <t>https://www.uta-net.com/song/78768/</t>
  </si>
  <si>
    <t>https://www.uta-net.com/song/249732/</t>
  </si>
  <si>
    <t>https://www.uta-net.com/song/117623/</t>
  </si>
  <si>
    <t>はなまるぴっぴはよいこだけ</t>
  </si>
  <si>
    <t>A応P</t>
  </si>
  <si>
    <t>https://www.uta-net.com/song/197277/</t>
  </si>
  <si>
    <t>https://www.uta-net.com/song/202345/</t>
  </si>
  <si>
    <t>HELLO ～Paradise Kiss～</t>
  </si>
  <si>
    <t>https://www.uta-net.com/song/112361/</t>
  </si>
  <si>
    <t>https://www.uta-net.com/song/959/</t>
  </si>
  <si>
    <t>https://www.uta-net.com/song/80095/</t>
  </si>
  <si>
    <t>キミシダイ列車</t>
  </si>
  <si>
    <t>https://www.uta-net.com/song/119936/</t>
  </si>
  <si>
    <t>https://www.uta-net.com/song/46443/</t>
  </si>
  <si>
    <t>飛行艇</t>
  </si>
  <si>
    <t>https://www.uta-net.com/song/272239/</t>
  </si>
  <si>
    <t>https://www.uta-net.com/song/39545/</t>
  </si>
  <si>
    <t>ヘビーローテーション</t>
  </si>
  <si>
    <t>https://www.uta-net.com/song/100001/</t>
  </si>
  <si>
    <t>タマシイレボリューション</t>
  </si>
  <si>
    <t>https://www.uta-net.com/song/100570/</t>
  </si>
  <si>
    <t>我逢人</t>
  </si>
  <si>
    <t>https://www.uta-net.com/song/189713/</t>
  </si>
  <si>
    <t>https://www.uta-net.com/song/79346/</t>
  </si>
  <si>
    <t>社会の窓</t>
  </si>
  <si>
    <t>https://www.uta-net.com/song/140861/</t>
  </si>
  <si>
    <t>https://www.uta-net.com/song/165073/</t>
  </si>
  <si>
    <t>https://www.uta-net.com/song/53759/</t>
  </si>
  <si>
    <t>ささえる人の歌</t>
  </si>
  <si>
    <t>https://www.uta-net.com/song/126312/</t>
  </si>
  <si>
    <t>迷宮ラブソング</t>
  </si>
  <si>
    <t>https://www.uta-net.com/song/121461/</t>
  </si>
  <si>
    <t>三原色</t>
  </si>
  <si>
    <t>https://www.uta-net.com/song/304177/</t>
  </si>
  <si>
    <t>スノーマジックファンタジー</t>
  </si>
  <si>
    <t>https://www.uta-net.com/song/158344/</t>
  </si>
  <si>
    <t>https://www.uta-net.com/song/1310/</t>
  </si>
  <si>
    <t>Speaking</t>
  </si>
  <si>
    <t>https://www.uta-net.com/song/197157/</t>
  </si>
  <si>
    <t>いつの日も</t>
  </si>
  <si>
    <t>https://www.uta-net.com/song/87893/</t>
  </si>
  <si>
    <t>https://www.uta-net.com/song/76756/</t>
  </si>
  <si>
    <t>https://www.uta-net.com/song/1525/</t>
  </si>
  <si>
    <t>https://www.uta-net.com/song/79253/</t>
  </si>
  <si>
    <t>ラブホテル</t>
  </si>
  <si>
    <t>https://www.uta-net.com/song/147835/</t>
  </si>
  <si>
    <t>https://www.uta-net.com/song/78215/</t>
  </si>
  <si>
    <t>助演女優症</t>
  </si>
  <si>
    <t>https://www.uta-net.com/song/136443/</t>
  </si>
  <si>
    <t>いつかきっと</t>
  </si>
  <si>
    <t>https://www.uta-net.com/song/180094/</t>
  </si>
  <si>
    <t>https://www.uta-net.com/song/14518/</t>
  </si>
  <si>
    <t>踊り子</t>
  </si>
  <si>
    <t>https://www.uta-net.com/song/311553/</t>
  </si>
  <si>
    <t>ピストル</t>
  </si>
  <si>
    <t>https://www.uta-net.com/song/119270/</t>
  </si>
  <si>
    <t>ロンリー</t>
  </si>
  <si>
    <t>https://www.uta-net.com/song/93504/</t>
  </si>
  <si>
    <t>ドーナツホール</t>
  </si>
  <si>
    <t>https://www.uta-net.com/song/162126/</t>
  </si>
  <si>
    <t>https://www.uta-net.com/song/48899/</t>
  </si>
  <si>
    <t>https://www.uta-net.com/song/350175/</t>
  </si>
  <si>
    <t>ハルカ</t>
  </si>
  <si>
    <t>https://www.uta-net.com/song/295523/</t>
  </si>
  <si>
    <t>サマータイムレコード</t>
  </si>
  <si>
    <t>https://www.uta-net.com/song/147215/</t>
  </si>
  <si>
    <t>GO</t>
  </si>
  <si>
    <t>https://www.uta-net.com/song/202346/</t>
  </si>
  <si>
    <t>https://www.uta-net.com/song/8448/</t>
  </si>
  <si>
    <t>https://www.uta-net.com/song/1620/</t>
  </si>
  <si>
    <t>Endless Game</t>
  </si>
  <si>
    <t>https://www.uta-net.com/song/147138/</t>
  </si>
  <si>
    <t>愛の花</t>
  </si>
  <si>
    <t>https://www.uta-net.com/song/335355/</t>
  </si>
  <si>
    <t>https://www.uta-net.com/song/4532/</t>
  </si>
  <si>
    <t>https://www.uta-net.com/song/63700/</t>
  </si>
  <si>
    <t>https://www.uta-net.com/song/46465/</t>
  </si>
  <si>
    <t>https://www.uta-net.com/song/21323/</t>
  </si>
  <si>
    <t>イイじゃん</t>
  </si>
  <si>
    <t>https://www.uta-net.com/song/368538/</t>
  </si>
  <si>
    <t>エンディング</t>
  </si>
  <si>
    <t>https://www.uta-net.com/song/138227/</t>
  </si>
  <si>
    <t>バラード</t>
  </si>
  <si>
    <t>https://www.uta-net.com/song/107489/</t>
  </si>
  <si>
    <t>https://www.uta-net.com/song/20232/</t>
  </si>
  <si>
    <t>MAGIC</t>
  </si>
  <si>
    <t>https://www.uta-net.com/song/171943/</t>
  </si>
  <si>
    <t>ないものねだり</t>
  </si>
  <si>
    <t>https://www.uta-net.com/song/158029/</t>
  </si>
  <si>
    <t>https://www.uta-net.com/song/5508/</t>
  </si>
  <si>
    <t>https://www.uta-net.com/song/12928/</t>
  </si>
  <si>
    <t>We are</t>
  </si>
  <si>
    <t>https://www.uta-net.com/song/221964/</t>
  </si>
  <si>
    <t>https://www.uta-net.com/song/2497/</t>
  </si>
  <si>
    <t>https://www.uta-net.com/song/4472/</t>
  </si>
  <si>
    <t>Story (English Version)</t>
  </si>
  <si>
    <t>https://www.uta-net.com/song/173278/</t>
  </si>
  <si>
    <t>花になって</t>
  </si>
  <si>
    <t>https://www.uta-net.com/song/345495/</t>
  </si>
  <si>
    <t>テゴマス</t>
  </si>
  <si>
    <t>https://www.uta-net.com/song/108825/</t>
  </si>
  <si>
    <t>https://www.uta-net.com/song/19104/</t>
  </si>
  <si>
    <t>https://www.uta-net.com/song/52376/</t>
  </si>
  <si>
    <t>https://www.uta-net.com/song/8612/</t>
  </si>
  <si>
    <t>優しい彗星</t>
  </si>
  <si>
    <t>https://www.uta-net.com/song/296725/</t>
  </si>
  <si>
    <t>https://www.uta-net.com/song/16014/</t>
  </si>
  <si>
    <t>https://www.uta-net.com/song/104675/</t>
  </si>
  <si>
    <t>https://www.uta-net.com/song/4853/</t>
  </si>
  <si>
    <t>やさしくなりたい</t>
  </si>
  <si>
    <t>https://www.uta-net.com/song/120979/</t>
  </si>
  <si>
    <t>らしさ</t>
  </si>
  <si>
    <t>SUPER BEAVER</t>
  </si>
  <si>
    <t>https://www.uta-net.com/song/170903/</t>
  </si>
  <si>
    <t>二人セゾン</t>
  </si>
  <si>
    <t>https://www.uta-net.com/song/219728/</t>
  </si>
  <si>
    <t>空の青さを知る人よ</t>
  </si>
  <si>
    <t>https://www.uta-net.com/song/274155/</t>
  </si>
  <si>
    <t>インフルエンサー</t>
  </si>
  <si>
    <t>https://www.uta-net.com/song/226410/</t>
  </si>
  <si>
    <t>ずっと。</t>
  </si>
  <si>
    <t>https://www.uta-net.com/song/127135/</t>
  </si>
  <si>
    <t>ミセナイナミダハ、きっといつか</t>
  </si>
  <si>
    <t>https://www.uta-net.com/song/125433/</t>
  </si>
  <si>
    <t>ビターバカンス</t>
  </si>
  <si>
    <t>https://www.uta-net.com/song/364588/</t>
  </si>
  <si>
    <t>https://www.uta-net.com/song/18567/</t>
  </si>
  <si>
    <t>https://www.uta-net.com/song/122044/</t>
  </si>
  <si>
    <t>https://www.uta-net.com/song/170/</t>
  </si>
  <si>
    <t>https://www.uta-net.com/song/21104/</t>
  </si>
  <si>
    <t>がらくた</t>
  </si>
  <si>
    <t>https://www.uta-net.com/song/359065/</t>
  </si>
  <si>
    <t>アースチャイルド</t>
  </si>
  <si>
    <t>https://www.uta-net.com/song/145479/</t>
  </si>
  <si>
    <t>キラーボール</t>
  </si>
  <si>
    <t>https://www.uta-net.com/song/156016/</t>
  </si>
  <si>
    <t>I wonder</t>
  </si>
  <si>
    <t>https://www.uta-net.com/song/352968/</t>
  </si>
  <si>
    <t>https://www.uta-net.com/song/12574/</t>
  </si>
  <si>
    <t>AliA</t>
  </si>
  <si>
    <t>https://www.uta-net.com/song/263450/</t>
  </si>
  <si>
    <t>https://www.uta-net.com/song/20743/</t>
  </si>
  <si>
    <t>https://www.uta-net.com/song/1531/</t>
  </si>
  <si>
    <t>https://www.uta-net.com/song/38918/</t>
  </si>
  <si>
    <t>https://www.uta-net.com/song/52715/</t>
  </si>
  <si>
    <t>https://www.uta-net.com/song/9871/</t>
  </si>
  <si>
    <t>O.R.I.O.N.</t>
  </si>
  <si>
    <t>https://www.uta-net.com/song/175204/</t>
  </si>
  <si>
    <t>恋文～ラブレター～</t>
  </si>
  <si>
    <t>https://www.uta-net.com/song/121273/</t>
  </si>
  <si>
    <t>レイン</t>
  </si>
  <si>
    <t>https://www.uta-net.com/song/92347/</t>
  </si>
  <si>
    <t>https://www.uta-net.com/song/79434/</t>
  </si>
  <si>
    <t>ただ声一つ</t>
  </si>
  <si>
    <t>ロクデナシ</t>
  </si>
  <si>
    <t>https://www.uta-net.com/song/312410/</t>
  </si>
  <si>
    <t>https://www.uta-net.com/song/191471/</t>
  </si>
  <si>
    <t>https://www.uta-net.com/song/75557/</t>
  </si>
  <si>
    <t>https://www.uta-net.com/song/68371/</t>
  </si>
  <si>
    <t>https://www.uta-net.com/song/60772/</t>
  </si>
  <si>
    <t>https://www.uta-net.com/song/1769/</t>
  </si>
  <si>
    <t>棒人間</t>
  </si>
  <si>
    <t>https://www.uta-net.com/song/221990/</t>
  </si>
  <si>
    <t>https://www.uta-net.com/song/17276/</t>
  </si>
  <si>
    <t>starting over</t>
  </si>
  <si>
    <t>https://www.uta-net.com/song/184061/</t>
  </si>
  <si>
    <t>ロスタイムメモリー</t>
  </si>
  <si>
    <t>https://www.uta-net.com/song/147218/</t>
  </si>
  <si>
    <t>大切</t>
  </si>
  <si>
    <t>https://www.uta-net.com/song/93716/</t>
  </si>
  <si>
    <t>チャンカパーナ</t>
  </si>
  <si>
    <t>NEWS</t>
  </si>
  <si>
    <t>https://www.uta-net.com/song/132540/</t>
  </si>
  <si>
    <t>https://www.uta-net.com/song/179/</t>
  </si>
  <si>
    <t>https://www.uta-net.com/song/72403/</t>
  </si>
  <si>
    <t>エジソン</t>
  </si>
  <si>
    <t>水曜日のカンパネラ</t>
  </si>
  <si>
    <t>https://www.uta-net.com/song/315113/</t>
  </si>
  <si>
    <t>さよなら、アリス</t>
  </si>
  <si>
    <t>https://www.uta-net.com/song/178658/</t>
  </si>
  <si>
    <t>https://www.uta-net.com/song/216627/</t>
  </si>
  <si>
    <t>Imitation Rain</t>
  </si>
  <si>
    <t>SixTONES</t>
  </si>
  <si>
    <t>https://www.uta-net.com/song/280366/</t>
  </si>
  <si>
    <t>フライングゲット</t>
  </si>
  <si>
    <t>https://www.uta-net.com/song/117976/</t>
  </si>
  <si>
    <t>果てない空</t>
  </si>
  <si>
    <t>https://www.uta-net.com/song/104444/</t>
  </si>
  <si>
    <t>現状ディストラクション</t>
  </si>
  <si>
    <t>https://www.uta-net.com/song/148970/</t>
  </si>
  <si>
    <t>https://www.uta-net.com/song/9138/</t>
  </si>
  <si>
    <t>Last Love</t>
  </si>
  <si>
    <t>https://www.uta-net.com/song/145549/</t>
  </si>
  <si>
    <t>https://www.uta-net.com/song/12746/</t>
  </si>
  <si>
    <t>どろん</t>
  </si>
  <si>
    <t>https://www.uta-net.com/song/279877/</t>
  </si>
  <si>
    <t>https://www.uta-net.com/song/15028/</t>
  </si>
  <si>
    <t>https://www.uta-net.com/song/4050/</t>
  </si>
  <si>
    <t>https://www.uta-net.com/song/3786/</t>
  </si>
  <si>
    <t>https://www.uta-net.com/song/3626/</t>
  </si>
  <si>
    <t>このままで</t>
  </si>
  <si>
    <t>https://www.uta-net.com/song/96497/</t>
  </si>
  <si>
    <t>https://www.uta-net.com/song/2772/</t>
  </si>
  <si>
    <t>ドリーマーズ・ハイ</t>
  </si>
  <si>
    <t>https://www.uta-net.com/song/143995/</t>
  </si>
  <si>
    <t>ブルーベリー・ナイツ</t>
  </si>
  <si>
    <t>https://www.uta-net.com/song/262923/</t>
  </si>
  <si>
    <t>https://www.uta-net.com/song/53454/</t>
  </si>
  <si>
    <t>足音 ～Be Strong</t>
  </si>
  <si>
    <t>https://www.uta-net.com/song/173966/</t>
  </si>
  <si>
    <t>浦島太郎(桐谷健太)</t>
  </si>
  <si>
    <t>https://www.uta-net.com/song/198591/</t>
  </si>
  <si>
    <t>じゃあ、何故</t>
  </si>
  <si>
    <t>https://www.uta-net.com/song/112878/</t>
  </si>
  <si>
    <t>https://www.uta-net.com/song/42573/</t>
  </si>
  <si>
    <t>一途</t>
  </si>
  <si>
    <t>https://www.uta-net.com/song/312149/</t>
  </si>
  <si>
    <t>https://www.uta-net.com/song/45775/</t>
  </si>
  <si>
    <t>Dear Bride</t>
  </si>
  <si>
    <t>https://www.uta-net.com/song/217210/</t>
  </si>
  <si>
    <t>アップルパイ</t>
  </si>
  <si>
    <t>https://www.uta-net.com/song/177143/</t>
  </si>
  <si>
    <t>ドラえもん</t>
  </si>
  <si>
    <t>https://www.uta-net.com/song/244910/</t>
  </si>
  <si>
    <t>愛にできることはまだあるかい</t>
  </si>
  <si>
    <t>https://www.uta-net.com/song/271351/</t>
  </si>
  <si>
    <t>https://www.uta-net.com/song/65226/</t>
  </si>
  <si>
    <t>https://www.uta-net.com/song/6634/</t>
  </si>
  <si>
    <t>https://www.uta-net.com/song/42636/</t>
  </si>
  <si>
    <t>https://www.uta-net.com/song/13044/</t>
  </si>
  <si>
    <t>https://www.uta-net.com/song/16883/</t>
  </si>
  <si>
    <t>https://www.uta-net.com/song/10190/</t>
  </si>
  <si>
    <t>https://www.uta-net.com/song/215/</t>
  </si>
  <si>
    <t>よー、そこの若いの</t>
  </si>
  <si>
    <t>竹原ピストル</t>
  </si>
  <si>
    <t>https://www.uta-net.com/song/196031/</t>
  </si>
  <si>
    <t>https://www.uta-net.com/song/4244/</t>
  </si>
  <si>
    <t>https://www.uta-net.com/song/2883/</t>
  </si>
  <si>
    <t>https://www.uta-net.com/song/211001/</t>
  </si>
  <si>
    <t>https://www.uta-net.com/song/50939/</t>
  </si>
  <si>
    <t>Flowerwall</t>
  </si>
  <si>
    <t>https://www.uta-net.com/song/177752/</t>
  </si>
  <si>
    <t>大不正解</t>
  </si>
  <si>
    <t>https://www.uta-net.com/song/253668/</t>
  </si>
  <si>
    <t>https://www.uta-net.com/song/36520/</t>
  </si>
  <si>
    <t>https://www.uta-net.com/song/33888/</t>
  </si>
  <si>
    <t>リメンバー・ミー</t>
  </si>
  <si>
    <t>石橋陽彩</t>
  </si>
  <si>
    <t>https://www.uta-net.com/song/263923/</t>
  </si>
  <si>
    <t>ピーターパン</t>
  </si>
  <si>
    <t>https://www.uta-net.com/song/288953/</t>
  </si>
  <si>
    <t>https://www.uta-net.com/song/10772/</t>
  </si>
  <si>
    <t>瞬間センチメンタル</t>
  </si>
  <si>
    <t>SCANDAL</t>
  </si>
  <si>
    <t>https://www.uta-net.com/song/89382/</t>
  </si>
  <si>
    <t>https://www.uta-net.com/song/238729/</t>
  </si>
  <si>
    <t>恋を知らない君へ</t>
  </si>
  <si>
    <t>https://www.uta-net.com/song/211151/</t>
  </si>
  <si>
    <t>恋するフォーチュンクッキー</t>
  </si>
  <si>
    <t>https://www.uta-net.com/song/150981/</t>
  </si>
  <si>
    <t>Attitude</t>
  </si>
  <si>
    <t>https://www.uta-net.com/song/275000/</t>
  </si>
  <si>
    <t>https://www.uta-net.com/song/57899/</t>
  </si>
  <si>
    <t>https://www.uta-net.com/song/759/</t>
  </si>
  <si>
    <t>https://www.uta-net.com/song/3916/</t>
  </si>
  <si>
    <t>Family Song</t>
  </si>
  <si>
    <t>https://www.uta-net.com/song/234134/</t>
  </si>
  <si>
    <t>君じゃない誰かなんて～Tejina～</t>
  </si>
  <si>
    <t>DEEP</t>
  </si>
  <si>
    <t>https://www.uta-net.com/song/119721/</t>
  </si>
  <si>
    <t>TRACE</t>
  </si>
  <si>
    <t>https://www.uta-net.com/song/191386/</t>
  </si>
  <si>
    <t>https://www.uta-net.com/song/7304/</t>
  </si>
  <si>
    <t>https://www.uta-net.com/song/3118/</t>
  </si>
  <si>
    <t>https://www.uta-net.com/song/29674/</t>
  </si>
  <si>
    <t>https://www.uta-net.com/song/19569/</t>
  </si>
  <si>
    <t>https://www.uta-net.com/song/10920/</t>
  </si>
  <si>
    <t>蛍</t>
  </si>
  <si>
    <t>https://www.uta-net.com/song/150316/</t>
  </si>
  <si>
    <t>どこにでもある唄。</t>
  </si>
  <si>
    <t>https://www.uta-net.com/song/115627/</t>
  </si>
  <si>
    <t>https://www.uta-net.com/song/117731/</t>
  </si>
  <si>
    <t>Troublemaker</t>
  </si>
  <si>
    <t>https://www.uta-net.com/song/91329/</t>
  </si>
  <si>
    <t>https://www.uta-net.com/song/87802/</t>
  </si>
  <si>
    <t>サイレン</t>
  </si>
  <si>
    <t>https://www.uta-net.com/song/198831/</t>
  </si>
  <si>
    <t>https://www.uta-net.com/song/8900/</t>
  </si>
  <si>
    <t>https://www.uta-net.com/song/20919/</t>
  </si>
  <si>
    <t>https://www.uta-net.com/song/51319/</t>
  </si>
  <si>
    <t>100万回の「I love you」</t>
  </si>
  <si>
    <t>Rake</t>
  </si>
  <si>
    <t>https://www.uta-net.com/song/104832/</t>
  </si>
  <si>
    <t>晴る</t>
  </si>
  <si>
    <t>https://www.uta-net.com/song/348205/</t>
  </si>
  <si>
    <t>https://www.uta-net.com/song/35296/</t>
  </si>
  <si>
    <t>https://www.uta-net.com/song/14876/</t>
  </si>
  <si>
    <t>ビリミリオン</t>
  </si>
  <si>
    <t>https://www.uta-net.com/song/335119/</t>
  </si>
  <si>
    <t>https://www.uta-net.com/song/65744/</t>
  </si>
  <si>
    <t>https://www.uta-net.com/song/1937/</t>
  </si>
  <si>
    <t>https://www.uta-net.com/song/838/</t>
  </si>
  <si>
    <t>アンビリーバーズ</t>
  </si>
  <si>
    <t>https://www.uta-net.com/song/193166/</t>
  </si>
  <si>
    <t>https://www.uta-net.com/song/2624/</t>
  </si>
  <si>
    <t>https://www.uta-net.com/song/75323/</t>
  </si>
  <si>
    <t>LIFE～目の前の向こうへ～</t>
  </si>
  <si>
    <t>SUPER EIGHT</t>
  </si>
  <si>
    <t>https://www.uta-net.com/song/100386/</t>
  </si>
  <si>
    <t>https://www.uta-net.com/song/4864/</t>
  </si>
  <si>
    <t>https://www.uta-net.com/song/77316/</t>
  </si>
  <si>
    <t>夢幻</t>
  </si>
  <si>
    <t>MY FIRST STORY × HYDE</t>
  </si>
  <si>
    <t>https://www.uta-net.com/song/354188/</t>
  </si>
  <si>
    <t>https://www.uta-net.com/song/3491/</t>
  </si>
  <si>
    <t>限界突破×サバイバー</t>
  </si>
  <si>
    <t>氷川きよし</t>
  </si>
  <si>
    <t>https://www.uta-net.com/song/235244/</t>
  </si>
  <si>
    <t>ミスター</t>
  </si>
  <si>
    <t>KARA</t>
  </si>
  <si>
    <t>https://www.uta-net.com/song/99759/</t>
  </si>
  <si>
    <t>https://www.uta-net.com/song/57360/</t>
  </si>
  <si>
    <t>https://www.uta-net.com/song/19305/</t>
  </si>
  <si>
    <t>なないろ</t>
  </si>
  <si>
    <t>https://www.uta-net.com/song/302265/</t>
  </si>
  <si>
    <t>リッツパーティー</t>
  </si>
  <si>
    <t>https://www.uta-net.com/song/120939/</t>
  </si>
  <si>
    <t>シャッター</t>
  </si>
  <si>
    <t>https://www.uta-net.com/song/304295/</t>
  </si>
  <si>
    <t>ビビデバ</t>
  </si>
  <si>
    <t>星街すいせい</t>
  </si>
  <si>
    <t>https://www.uta-net.com/song/352085/</t>
  </si>
  <si>
    <t>あんた</t>
  </si>
  <si>
    <t>ティーナ・カリーナ</t>
  </si>
  <si>
    <t>https://www.uta-net.com/song/133851/</t>
  </si>
  <si>
    <t>https://www.uta-net.com/song/18714/</t>
  </si>
  <si>
    <t>https://www.uta-net.com/song/13896/</t>
  </si>
  <si>
    <t>https://www.uta-net.com/song/13981/</t>
  </si>
  <si>
    <t>https://www.uta-net.com/song/13153/</t>
  </si>
  <si>
    <t>https://www.uta-net.com/song/180706/</t>
  </si>
  <si>
    <t>アイデンティティ</t>
  </si>
  <si>
    <t>https://www.uta-net.com/song/97095/</t>
  </si>
  <si>
    <t>藍二乗</t>
  </si>
  <si>
    <t>https://www.uta-net.com/song/261309/</t>
  </si>
  <si>
    <t>Dear</t>
  </si>
  <si>
    <t>https://www.uta-net.com/song/354565/</t>
  </si>
  <si>
    <t>Have a nice day</t>
  </si>
  <si>
    <t>https://www.uta-net.com/song/211004/</t>
  </si>
  <si>
    <t>桜color</t>
  </si>
  <si>
    <t>https://www.uta-net.com/song/142010/</t>
  </si>
  <si>
    <t>https://www.uta-net.com/song/1133/</t>
  </si>
  <si>
    <t>ウィークエンダー</t>
  </si>
  <si>
    <t>https://www.uta-net.com/song/169543/</t>
  </si>
  <si>
    <t>祈り ～涙の軌道</t>
  </si>
  <si>
    <t>https://www.uta-net.com/song/128499/</t>
  </si>
  <si>
    <t>Clock Strikes</t>
  </si>
  <si>
    <t>https://www.uta-net.com/song/142713/</t>
  </si>
  <si>
    <t>https://www.uta-net.com/song/26137/</t>
  </si>
  <si>
    <t>https://www.uta-net.com/song/10418/</t>
  </si>
  <si>
    <t>https://www.uta-net.com/song/15759/</t>
  </si>
  <si>
    <t>https://www.uta-net.com/song/44007/</t>
  </si>
  <si>
    <t>https://www.uta-net.com/song/12836/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</si>
</sst>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8">
    <font>
      <sz val="11"/>
      <name val="Carlito"/>
    </font>
    <font>
      <sz val="11"/>
      <color rgb="FF233044"/>
      <name val="Arial"/>
      <family val="2"/>
    </font>
    <font>
      <b/>
      <sz val="16"/>
      <color rgb="FF233044"/>
      <name val="Arial"/>
      <family val="2"/>
    </font>
    <font>
      <sz val="11"/>
      <color rgb="FF566275"/>
      <name val="Arial"/>
      <family val="2"/>
    </font>
    <font>
      <b/>
      <sz val="11"/>
      <color rgb="FFFFFFFF"/>
      <name val="Arial"/>
      <family val="2"/>
    </font>
    <font>
      <sz val="11"/>
      <color rgb="FF245EA1"/>
      <name val="Arial"/>
      <family val="2"/>
    </font>
    <font>
      <sz val="11"/>
      <name val="Carlito"/>
    </font>
    <font>
      <sz val="6"/>
      <name val="Tsukushi A Round Gothic Bold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334155"/>
      </patternFill>
    </fill>
    <fill>
      <patternFill patternType="solid">
        <fgColor rgb="FFFFF1CE"/>
      </patternFill>
    </fill>
  </fills>
  <borders count="2">
    <border>
      <left/>
      <right/>
      <top/>
      <bottom/>
      <diagonal/>
    </border>
    <border>
      <left/>
      <right/>
      <top/>
      <bottom style="thin">
        <color rgb="FF9AA8B9"/>
      </bottom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1" fillId="0" borderId="0" xfId="1" applyFont="1"/>
    <xf numFmtId="0" fontId="1" fillId="0" borderId="0" xfId="1" applyFont="1" applyAlignment="1">
      <alignment vertical="center"/>
    </xf>
    <xf numFmtId="0" fontId="2" fillId="0" borderId="1" xfId="1" applyFont="1" applyBorder="1" applyAlignment="1">
      <alignment vertical="center"/>
    </xf>
    <xf numFmtId="0" fontId="1" fillId="0" borderId="1" xfId="1" applyFont="1" applyBorder="1" applyAlignment="1">
      <alignment vertical="center"/>
    </xf>
    <xf numFmtId="0" fontId="3" fillId="0" borderId="0" xfId="1" applyFont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1" fillId="0" borderId="0" xfId="1" applyFont="1" applyAlignment="1">
      <alignment horizontal="right" vertical="center"/>
    </xf>
    <xf numFmtId="176" fontId="1" fillId="0" borderId="0" xfId="1" applyNumberFormat="1" applyFont="1" applyAlignment="1">
      <alignment horizontal="right" vertical="center"/>
    </xf>
    <xf numFmtId="0" fontId="1" fillId="0" borderId="0" xfId="1" applyFont="1" applyAlignment="1">
      <alignment vertical="center" wrapText="1"/>
    </xf>
    <xf numFmtId="0" fontId="1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3" fillId="0" borderId="0" xfId="1" applyFont="1" applyAlignment="1">
      <alignment vertical="center" wrapText="1"/>
    </xf>
    <xf numFmtId="0" fontId="5" fillId="0" borderId="0" xfId="1" applyFont="1" applyAlignment="1">
      <alignment vertical="center"/>
    </xf>
    <xf numFmtId="3" fontId="1" fillId="0" borderId="0" xfId="1" applyNumberFormat="1" applyFont="1" applyAlignment="1">
      <alignment horizontal="right" vertical="center"/>
    </xf>
    <xf numFmtId="0" fontId="1" fillId="3" borderId="0" xfId="1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cludedSongs" displayName="ExcludedSongs" ref="A6:H461" totalsRowShown="0">
  <tableColumns count="8">
    <tableColumn id="1" xr3:uid="{00000000-0010-0000-0000-000001000000}" name="元順位"/>
    <tableColumn id="2" xr3:uid="{00000000-0010-0000-0000-000002000000}" name="曲名"/>
    <tableColumn id="3" xr3:uid="{00000000-0010-0000-0000-000003000000}" name="アーティスト"/>
    <tableColumn id="4" xr3:uid="{00000000-0010-0000-0000-000004000000}" name="掲載発売日"/>
    <tableColumn id="5" xr3:uid="{00000000-0010-0000-0000-000005000000}" name="除外理由"/>
    <tableColumn id="6" xr3:uid="{00000000-0010-0000-0000-000006000000}" name="追加希望"/>
    <tableColumn id="7" xr3:uid="{00000000-0010-0000-0000-000007000000}" name="追加時の段位"/>
    <tableColumn id="8" xr3:uid="{00000000-0010-0000-0000-000008000000}" name="曲ページ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ankingSnapshot" displayName="RankingSnapshot" ref="A6:H1006" totalsRowShown="0">
  <tableColumns count="8">
    <tableColumn id="1" xr3:uid="{00000000-0010-0000-0100-000001000000}" name="元順位"/>
    <tableColumn id="2" xr3:uid="{00000000-0010-0000-0100-000002000000}" name="曲名"/>
    <tableColumn id="3" xr3:uid="{00000000-0010-0000-0100-000003000000}" name="アーティスト"/>
    <tableColumn id="4" xr3:uid="{00000000-0010-0000-0100-000004000000}" name="掲載発売日"/>
    <tableColumn id="5" xr3:uid="{00000000-0010-0000-0100-000005000000}" name="段位候補"/>
    <tableColumn id="6" xr3:uid="{00000000-0010-0000-0100-000006000000}" name="日付による選定"/>
    <tableColumn id="7" xr3:uid="{00000000-0010-0000-0100-000007000000}" name="曲ページ"/>
    <tableColumn id="8" xr3:uid="{00000000-0010-0000-0100-000008000000}" name="歌詞表示回数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34155"/>
  </sheetPr>
  <dimension ref="A1:K461"/>
  <sheetViews>
    <sheetView showGridLines="0" tabSelected="1" workbookViewId="0">
      <pane ySplit="6" topLeftCell="A433" activePane="bottomLeft" state="frozen"/>
      <selection pane="bottomLeft" activeCell="F459" sqref="F459"/>
    </sheetView>
  </sheetViews>
  <sheetFormatPr baseColWidth="10" defaultColWidth="8.83203125" defaultRowHeight="14"/>
  <cols>
    <col min="1" max="1" width="9" customWidth="1"/>
    <col min="2" max="2" width="56" customWidth="1"/>
    <col min="3" max="3" width="30" customWidth="1"/>
    <col min="4" max="4" width="15" customWidth="1"/>
    <col min="5" max="5" width="20" customWidth="1"/>
    <col min="6" max="6" width="16" customWidth="1"/>
    <col min="7" max="7" width="13" customWidth="1"/>
    <col min="8" max="8" width="48" customWidth="1"/>
    <col min="10" max="10" width="14" customWidth="1"/>
    <col min="11" max="11" width="8" customWidth="1"/>
  </cols>
  <sheetData>
    <row r="1" spans="1:11" ht="10" customHeight="1">
      <c r="A1" s="2"/>
      <c r="B1" s="2"/>
      <c r="C1" s="2"/>
      <c r="D1" s="2"/>
      <c r="E1" s="2"/>
      <c r="F1" s="2"/>
      <c r="G1" s="2"/>
      <c r="H1" s="2"/>
    </row>
    <row r="2" spans="1:11" ht="30" customHeight="1">
      <c r="A2" s="3"/>
      <c r="B2" s="3" t="s">
        <v>0</v>
      </c>
      <c r="C2" s="4"/>
      <c r="D2" s="4"/>
      <c r="E2" s="4"/>
      <c r="F2" s="4"/>
      <c r="G2" s="4"/>
      <c r="H2" s="4"/>
      <c r="J2" s="1" t="s">
        <v>1</v>
      </c>
      <c r="K2" s="1">
        <f>SUMPRODUCT(--F7:F461)</f>
        <v>192</v>
      </c>
    </row>
    <row r="3" spans="1:11" ht="24" customHeight="1">
      <c r="A3" s="5" t="s">
        <v>2</v>
      </c>
      <c r="B3" s="5"/>
      <c r="C3" s="5"/>
      <c r="D3" s="5"/>
      <c r="E3" s="5"/>
      <c r="F3" s="5"/>
      <c r="G3" s="5"/>
      <c r="H3" s="5"/>
    </row>
    <row r="4" spans="1:11" ht="24" customHeight="1">
      <c r="A4" s="5" t="s">
        <v>3</v>
      </c>
      <c r="B4" s="5"/>
      <c r="C4" s="5"/>
      <c r="D4" s="5"/>
      <c r="E4" s="5"/>
      <c r="F4" s="5"/>
      <c r="G4" s="5"/>
      <c r="H4" s="5"/>
    </row>
    <row r="5" spans="1:11" ht="10" customHeight="1">
      <c r="A5" s="2"/>
      <c r="B5" s="2"/>
      <c r="C5" s="2"/>
      <c r="D5" s="2"/>
      <c r="E5" s="2"/>
      <c r="F5" s="2"/>
      <c r="G5" s="2"/>
      <c r="H5" s="2"/>
    </row>
    <row r="6" spans="1:11" ht="30" customHeight="1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1</v>
      </c>
      <c r="G6" s="6" t="s">
        <v>9</v>
      </c>
      <c r="H6" s="6" t="s">
        <v>10</v>
      </c>
    </row>
    <row r="7" spans="1:11" ht="30" customHeight="1">
      <c r="A7" s="7">
        <v>6</v>
      </c>
      <c r="B7" s="9" t="s">
        <v>11</v>
      </c>
      <c r="C7" s="9" t="s">
        <v>12</v>
      </c>
      <c r="D7" s="8">
        <v>39596</v>
      </c>
      <c r="E7" s="2" t="s">
        <v>13</v>
      </c>
      <c r="F7" s="15" t="b">
        <v>1</v>
      </c>
      <c r="G7" s="10" t="str">
        <f>ランキング1000曲!E12</f>
        <v>5級</v>
      </c>
      <c r="H7" s="11" t="str">
        <f>ランキング1000曲!G12</f>
        <v>https://www.uta-net.com/song/65511/</v>
      </c>
    </row>
    <row r="8" spans="1:11" ht="30" customHeight="1">
      <c r="A8" s="7">
        <v>15</v>
      </c>
      <c r="B8" s="9" t="s">
        <v>14</v>
      </c>
      <c r="C8" s="9" t="s">
        <v>15</v>
      </c>
      <c r="D8" s="8">
        <v>38056</v>
      </c>
      <c r="E8" s="2" t="s">
        <v>13</v>
      </c>
      <c r="F8" s="15" t="b">
        <v>1</v>
      </c>
      <c r="G8" s="10" t="str">
        <f>ランキング1000曲!E21</f>
        <v>5級</v>
      </c>
      <c r="H8" s="11" t="str">
        <f>ランキング1000曲!G21</f>
        <v>https://www.uta-net.com/song/18718/</v>
      </c>
    </row>
    <row r="9" spans="1:11" ht="30" customHeight="1">
      <c r="A9" s="7">
        <v>18</v>
      </c>
      <c r="B9" s="9" t="s">
        <v>16</v>
      </c>
      <c r="C9" s="9" t="s">
        <v>17</v>
      </c>
      <c r="D9" s="8">
        <v>37150</v>
      </c>
      <c r="E9" s="2" t="s">
        <v>13</v>
      </c>
      <c r="F9" s="15" t="b">
        <v>1</v>
      </c>
      <c r="G9" s="10" t="str">
        <f>ランキング1000曲!E24</f>
        <v>5級</v>
      </c>
      <c r="H9" s="11" t="str">
        <f>ランキング1000曲!G24</f>
        <v>https://www.uta-net.com/song/48901/</v>
      </c>
    </row>
    <row r="10" spans="1:11" ht="30" customHeight="1">
      <c r="A10" s="7">
        <v>30</v>
      </c>
      <c r="B10" s="9" t="s">
        <v>18</v>
      </c>
      <c r="C10" s="9" t="s">
        <v>19</v>
      </c>
      <c r="D10" s="8">
        <v>39694</v>
      </c>
      <c r="E10" s="2" t="s">
        <v>13</v>
      </c>
      <c r="F10" s="15" t="b">
        <v>1</v>
      </c>
      <c r="G10" s="10" t="str">
        <f>ランキング1000曲!E36</f>
        <v>5級</v>
      </c>
      <c r="H10" s="11" t="str">
        <f>ランキング1000曲!G36</f>
        <v>https://www.uta-net.com/song/70478/</v>
      </c>
    </row>
    <row r="11" spans="1:11" ht="30" customHeight="1">
      <c r="A11" s="7">
        <v>34</v>
      </c>
      <c r="B11" s="9" t="s">
        <v>20</v>
      </c>
      <c r="C11" s="9" t="s">
        <v>21</v>
      </c>
      <c r="D11" s="8">
        <v>37034</v>
      </c>
      <c r="E11" s="2" t="s">
        <v>13</v>
      </c>
      <c r="F11" s="15" t="b">
        <v>1</v>
      </c>
      <c r="G11" s="10" t="str">
        <f>ランキング1000曲!E40</f>
        <v>5級</v>
      </c>
      <c r="H11" s="11" t="str">
        <f>ランキング1000曲!G40</f>
        <v>https://www.uta-net.com/song/10225/</v>
      </c>
    </row>
    <row r="12" spans="1:11" ht="30" customHeight="1">
      <c r="A12" s="7">
        <v>37</v>
      </c>
      <c r="B12" s="9" t="s">
        <v>22</v>
      </c>
      <c r="C12" s="9" t="s">
        <v>23</v>
      </c>
      <c r="D12" s="8">
        <v>38055</v>
      </c>
      <c r="E12" s="2" t="s">
        <v>13</v>
      </c>
      <c r="F12" s="15" t="b">
        <v>1</v>
      </c>
      <c r="G12" s="10" t="str">
        <f>ランキング1000曲!E43</f>
        <v>5級</v>
      </c>
      <c r="H12" s="11" t="str">
        <f>ランキング1000曲!G43</f>
        <v>https://www.uta-net.com/song/18874/</v>
      </c>
    </row>
    <row r="13" spans="1:11" ht="30" customHeight="1">
      <c r="A13" s="7">
        <v>39</v>
      </c>
      <c r="B13" s="9" t="s">
        <v>24</v>
      </c>
      <c r="C13" s="9" t="s">
        <v>25</v>
      </c>
      <c r="D13" s="8">
        <v>35165</v>
      </c>
      <c r="E13" s="2" t="s">
        <v>13</v>
      </c>
      <c r="F13" s="15" t="b">
        <v>1</v>
      </c>
      <c r="G13" s="10" t="str">
        <f>ランキング1000曲!E45</f>
        <v>5級</v>
      </c>
      <c r="H13" s="11" t="str">
        <f>ランキング1000曲!G45</f>
        <v>https://www.uta-net.com/song/9073/</v>
      </c>
    </row>
    <row r="14" spans="1:11" ht="30" customHeight="1">
      <c r="A14" s="7">
        <v>52</v>
      </c>
      <c r="B14" s="9" t="s">
        <v>26</v>
      </c>
      <c r="C14" s="9" t="s">
        <v>27</v>
      </c>
      <c r="D14" s="8">
        <v>36782</v>
      </c>
      <c r="E14" s="2" t="s">
        <v>13</v>
      </c>
      <c r="F14" s="15" t="b">
        <v>1</v>
      </c>
      <c r="G14" s="10" t="str">
        <f>ランキング1000曲!E58</f>
        <v>5級</v>
      </c>
      <c r="H14" s="11" t="str">
        <f>ランキング1000曲!G58</f>
        <v>https://www.uta-net.com/song/12513/</v>
      </c>
    </row>
    <row r="15" spans="1:11" ht="30" customHeight="1">
      <c r="A15" s="7">
        <v>56</v>
      </c>
      <c r="B15" s="9" t="s">
        <v>28</v>
      </c>
      <c r="C15" s="9" t="s">
        <v>29</v>
      </c>
      <c r="D15" s="8">
        <v>38987</v>
      </c>
      <c r="E15" s="2" t="s">
        <v>13</v>
      </c>
      <c r="F15" s="15" t="b">
        <v>0</v>
      </c>
      <c r="G15" s="10" t="str">
        <f>ランキング1000曲!E62</f>
        <v>5級</v>
      </c>
      <c r="H15" s="11" t="str">
        <f>ランキング1000曲!G62</f>
        <v>https://www.uta-net.com/song/13930/</v>
      </c>
    </row>
    <row r="16" spans="1:11" ht="30" customHeight="1">
      <c r="A16" s="7">
        <v>62</v>
      </c>
      <c r="B16" s="9" t="s">
        <v>30</v>
      </c>
      <c r="C16" s="9" t="s">
        <v>31</v>
      </c>
      <c r="D16" s="8">
        <v>37209</v>
      </c>
      <c r="E16" s="2" t="s">
        <v>13</v>
      </c>
      <c r="F16" s="15" t="b">
        <v>1</v>
      </c>
      <c r="G16" s="10" t="str">
        <f>ランキング1000曲!E68</f>
        <v>5級</v>
      </c>
      <c r="H16" s="11" t="str">
        <f>ランキング1000曲!G68</f>
        <v>https://www.uta-net.com/song/15597/</v>
      </c>
    </row>
    <row r="17" spans="1:8" ht="30" customHeight="1">
      <c r="A17" s="7">
        <v>63</v>
      </c>
      <c r="B17" s="9" t="s">
        <v>32</v>
      </c>
      <c r="C17" s="9" t="s">
        <v>33</v>
      </c>
      <c r="D17" s="8">
        <v>40079</v>
      </c>
      <c r="E17" s="2" t="s">
        <v>13</v>
      </c>
      <c r="F17" s="15" t="b">
        <v>1</v>
      </c>
      <c r="G17" s="10" t="str">
        <f>ランキング1000曲!E69</f>
        <v>5級</v>
      </c>
      <c r="H17" s="11" t="str">
        <f>ランキング1000曲!G69</f>
        <v>https://www.uta-net.com/song/84214/</v>
      </c>
    </row>
    <row r="18" spans="1:8" ht="30" customHeight="1">
      <c r="A18" s="7">
        <v>68</v>
      </c>
      <c r="B18" s="9" t="s">
        <v>34</v>
      </c>
      <c r="C18" s="9" t="s">
        <v>35</v>
      </c>
      <c r="D18" s="8">
        <v>39072</v>
      </c>
      <c r="E18" s="2" t="s">
        <v>13</v>
      </c>
      <c r="F18" s="15" t="b">
        <v>0</v>
      </c>
      <c r="G18" s="10" t="str">
        <f>ランキング1000曲!E74</f>
        <v>5級</v>
      </c>
      <c r="H18" s="11" t="str">
        <f>ランキング1000曲!G74</f>
        <v>https://www.uta-net.com/song/7326/</v>
      </c>
    </row>
    <row r="19" spans="1:8" ht="30" customHeight="1">
      <c r="A19" s="7">
        <v>69</v>
      </c>
      <c r="B19" s="9" t="s">
        <v>36</v>
      </c>
      <c r="C19" s="9" t="s">
        <v>37</v>
      </c>
      <c r="D19" s="8">
        <v>39708</v>
      </c>
      <c r="E19" s="2" t="s">
        <v>13</v>
      </c>
      <c r="F19" s="15" t="b">
        <v>1</v>
      </c>
      <c r="G19" s="10" t="str">
        <f>ランキング1000曲!E75</f>
        <v>5級</v>
      </c>
      <c r="H19" s="11" t="str">
        <f>ランキング1000曲!G75</f>
        <v>https://www.uta-net.com/song/70553/</v>
      </c>
    </row>
    <row r="20" spans="1:8" ht="30" customHeight="1">
      <c r="A20" s="7">
        <v>71</v>
      </c>
      <c r="B20" s="9" t="s">
        <v>38</v>
      </c>
      <c r="C20" s="9" t="s">
        <v>33</v>
      </c>
      <c r="D20" s="8">
        <v>39638</v>
      </c>
      <c r="E20" s="2" t="s">
        <v>13</v>
      </c>
      <c r="F20" s="15" t="b">
        <v>1</v>
      </c>
      <c r="G20" s="10" t="str">
        <f>ランキング1000曲!E77</f>
        <v>5級</v>
      </c>
      <c r="H20" s="11" t="str">
        <f>ランキング1000曲!G77</f>
        <v>https://www.uta-net.com/song/66961/</v>
      </c>
    </row>
    <row r="21" spans="1:8" ht="30" customHeight="1">
      <c r="A21" s="7">
        <v>76</v>
      </c>
      <c r="B21" s="9" t="s">
        <v>39</v>
      </c>
      <c r="C21" s="9" t="s">
        <v>40</v>
      </c>
      <c r="D21" s="8">
        <v>38190</v>
      </c>
      <c r="E21" s="2" t="s">
        <v>13</v>
      </c>
      <c r="F21" s="15" t="b">
        <v>1</v>
      </c>
      <c r="G21" s="10" t="str">
        <f>ランキング1000曲!E82</f>
        <v>5級</v>
      </c>
      <c r="H21" s="11" t="str">
        <f>ランキング1000曲!G82</f>
        <v>https://www.uta-net.com/song/19425/</v>
      </c>
    </row>
    <row r="22" spans="1:8" ht="30" customHeight="1">
      <c r="A22" s="7">
        <v>78</v>
      </c>
      <c r="B22" s="9" t="s">
        <v>41</v>
      </c>
      <c r="C22" s="9" t="s">
        <v>42</v>
      </c>
      <c r="D22" s="8">
        <v>37531</v>
      </c>
      <c r="E22" s="2" t="s">
        <v>13</v>
      </c>
      <c r="F22" s="15" t="b">
        <v>1</v>
      </c>
      <c r="G22" s="10" t="str">
        <f>ランキング1000曲!E84</f>
        <v>5級</v>
      </c>
      <c r="H22" s="11" t="str">
        <f>ランキング1000曲!G84</f>
        <v>https://www.uta-net.com/song/17129/</v>
      </c>
    </row>
    <row r="23" spans="1:8" ht="30" customHeight="1">
      <c r="A23" s="7">
        <v>80</v>
      </c>
      <c r="B23" s="9" t="s">
        <v>43</v>
      </c>
      <c r="C23" s="9" t="s">
        <v>12</v>
      </c>
      <c r="D23" s="8">
        <v>39960</v>
      </c>
      <c r="E23" s="2" t="s">
        <v>13</v>
      </c>
      <c r="F23" s="15" t="b">
        <v>1</v>
      </c>
      <c r="G23" s="10" t="str">
        <f>ランキング1000曲!E86</f>
        <v>5級</v>
      </c>
      <c r="H23" s="11" t="str">
        <f>ランキング1000曲!G86</f>
        <v>https://www.uta-net.com/song/80054/</v>
      </c>
    </row>
    <row r="24" spans="1:8" ht="30" customHeight="1">
      <c r="A24" s="7">
        <v>83</v>
      </c>
      <c r="B24" s="9" t="s">
        <v>44</v>
      </c>
      <c r="C24" s="9" t="s">
        <v>45</v>
      </c>
      <c r="D24" s="8">
        <v>39134</v>
      </c>
      <c r="E24" s="2" t="s">
        <v>13</v>
      </c>
      <c r="F24" s="15" t="b">
        <v>1</v>
      </c>
      <c r="G24" s="10" t="str">
        <f>ランキング1000曲!E89</f>
        <v>5級</v>
      </c>
      <c r="H24" s="11" t="str">
        <f>ランキング1000曲!G89</f>
        <v>https://www.uta-net.com/song/51913/</v>
      </c>
    </row>
    <row r="25" spans="1:8" ht="30" customHeight="1">
      <c r="A25" s="7">
        <v>84</v>
      </c>
      <c r="B25" s="9" t="s">
        <v>46</v>
      </c>
      <c r="C25" s="9" t="s">
        <v>47</v>
      </c>
      <c r="D25" s="8">
        <v>39057</v>
      </c>
      <c r="E25" s="2" t="s">
        <v>13</v>
      </c>
      <c r="F25" s="15" t="b">
        <v>1</v>
      </c>
      <c r="G25" s="10" t="str">
        <f>ランキング1000曲!E90</f>
        <v>5級</v>
      </c>
      <c r="H25" s="11" t="str">
        <f>ランキング1000曲!G90</f>
        <v>https://www.uta-net.com/song/49383/</v>
      </c>
    </row>
    <row r="26" spans="1:8" ht="30" customHeight="1">
      <c r="A26" s="7">
        <v>89</v>
      </c>
      <c r="B26" s="9" t="s">
        <v>48</v>
      </c>
      <c r="C26" s="9" t="s">
        <v>12</v>
      </c>
      <c r="D26" s="8">
        <v>39218</v>
      </c>
      <c r="E26" s="2" t="s">
        <v>13</v>
      </c>
      <c r="F26" s="15" t="b">
        <v>1</v>
      </c>
      <c r="G26" s="10" t="str">
        <f>ランキング1000曲!E95</f>
        <v>5級</v>
      </c>
      <c r="H26" s="11" t="str">
        <f>ランキング1000曲!G95</f>
        <v>https://www.uta-net.com/song/53277/</v>
      </c>
    </row>
    <row r="27" spans="1:8" ht="30" customHeight="1">
      <c r="A27" s="7">
        <v>91</v>
      </c>
      <c r="B27" s="9" t="s">
        <v>49</v>
      </c>
      <c r="C27" s="9" t="s">
        <v>50</v>
      </c>
      <c r="D27" s="8">
        <v>39127</v>
      </c>
      <c r="E27" s="2" t="s">
        <v>13</v>
      </c>
      <c r="F27" s="15" t="b">
        <v>1</v>
      </c>
      <c r="G27" s="10" t="str">
        <f>ランキング1000曲!E97</f>
        <v>5級</v>
      </c>
      <c r="H27" s="11" t="str">
        <f>ランキング1000曲!G97</f>
        <v>https://www.uta-net.com/song/51644/</v>
      </c>
    </row>
    <row r="28" spans="1:8" ht="30" customHeight="1">
      <c r="A28" s="7">
        <v>92</v>
      </c>
      <c r="B28" s="9" t="s">
        <v>51</v>
      </c>
      <c r="C28" s="9" t="s">
        <v>45</v>
      </c>
      <c r="D28" s="8">
        <v>39624</v>
      </c>
      <c r="E28" s="2" t="s">
        <v>13</v>
      </c>
      <c r="F28" s="15" t="b">
        <v>1</v>
      </c>
      <c r="G28" s="10" t="str">
        <f>ランキング1000曲!E98</f>
        <v>5級</v>
      </c>
      <c r="H28" s="11" t="str">
        <f>ランキング1000曲!G98</f>
        <v>https://www.uta-net.com/song/67818/</v>
      </c>
    </row>
    <row r="29" spans="1:8" ht="30" customHeight="1">
      <c r="A29" s="7">
        <v>93</v>
      </c>
      <c r="B29" s="9" t="s">
        <v>52</v>
      </c>
      <c r="C29" s="9" t="s">
        <v>45</v>
      </c>
      <c r="D29" s="8">
        <v>36467</v>
      </c>
      <c r="E29" s="2" t="s">
        <v>13</v>
      </c>
      <c r="F29" s="15" t="b">
        <v>1</v>
      </c>
      <c r="G29" s="10" t="str">
        <f>ランキング1000曲!E99</f>
        <v>5級</v>
      </c>
      <c r="H29" s="11" t="str">
        <f>ランキング1000曲!G99</f>
        <v>https://www.uta-net.com/song/12167/</v>
      </c>
    </row>
    <row r="30" spans="1:8" ht="30" customHeight="1">
      <c r="A30" s="7">
        <v>95</v>
      </c>
      <c r="B30" s="9" t="s">
        <v>53</v>
      </c>
      <c r="C30" s="9" t="s">
        <v>54</v>
      </c>
      <c r="D30" s="8">
        <v>38987</v>
      </c>
      <c r="E30" s="2" t="s">
        <v>13</v>
      </c>
      <c r="F30" s="15" t="b">
        <v>1</v>
      </c>
      <c r="G30" s="10" t="str">
        <f>ランキング1000曲!E101</f>
        <v>5級</v>
      </c>
      <c r="H30" s="11" t="str">
        <f>ランキング1000曲!G101</f>
        <v>https://www.uta-net.com/song/45078/</v>
      </c>
    </row>
    <row r="31" spans="1:8" ht="30" customHeight="1">
      <c r="A31" s="7">
        <v>98</v>
      </c>
      <c r="B31" s="9" t="s">
        <v>55</v>
      </c>
      <c r="C31" s="9" t="s">
        <v>56</v>
      </c>
      <c r="D31" s="8">
        <v>38819</v>
      </c>
      <c r="E31" s="2" t="s">
        <v>13</v>
      </c>
      <c r="F31" s="15" t="b">
        <v>0</v>
      </c>
      <c r="G31" s="10" t="str">
        <f>ランキング1000曲!E104</f>
        <v>5級</v>
      </c>
      <c r="H31" s="11" t="str">
        <f>ランキング1000曲!G104</f>
        <v>https://www.uta-net.com/song/40362/</v>
      </c>
    </row>
    <row r="32" spans="1:8" ht="30" customHeight="1">
      <c r="A32" s="7">
        <v>100</v>
      </c>
      <c r="B32" s="9" t="s">
        <v>57</v>
      </c>
      <c r="C32" s="9" t="s">
        <v>58</v>
      </c>
      <c r="D32" s="8">
        <v>38490</v>
      </c>
      <c r="E32" s="2" t="s">
        <v>13</v>
      </c>
      <c r="F32" s="15" t="b">
        <v>1</v>
      </c>
      <c r="G32" s="10" t="str">
        <f>ランキング1000曲!E106</f>
        <v>5級</v>
      </c>
      <c r="H32" s="11" t="str">
        <f>ランキング1000曲!G106</f>
        <v>https://www.uta-net.com/song/25996/</v>
      </c>
    </row>
    <row r="33" spans="1:8" ht="30" customHeight="1">
      <c r="A33" s="7">
        <v>102</v>
      </c>
      <c r="B33" s="9" t="s">
        <v>59</v>
      </c>
      <c r="C33" s="9" t="s">
        <v>60</v>
      </c>
      <c r="D33" s="8">
        <v>39505</v>
      </c>
      <c r="E33" s="2" t="s">
        <v>13</v>
      </c>
      <c r="F33" s="15" t="b">
        <v>1</v>
      </c>
      <c r="G33" s="10" t="str">
        <f>ランキング1000曲!E108</f>
        <v>4級</v>
      </c>
      <c r="H33" s="11" t="str">
        <f>ランキング1000曲!G108</f>
        <v>https://www.uta-net.com/song/60335/</v>
      </c>
    </row>
    <row r="34" spans="1:8" ht="30" customHeight="1">
      <c r="A34" s="7">
        <v>105</v>
      </c>
      <c r="B34" s="9" t="s">
        <v>61</v>
      </c>
      <c r="C34" s="9" t="s">
        <v>62</v>
      </c>
      <c r="D34" s="8">
        <v>34243</v>
      </c>
      <c r="E34" s="2" t="s">
        <v>13</v>
      </c>
      <c r="F34" s="15" t="b">
        <v>1</v>
      </c>
      <c r="G34" s="10" t="str">
        <f>ランキング1000曲!E111</f>
        <v>4級</v>
      </c>
      <c r="H34" s="11" t="str">
        <f>ランキング1000曲!G111</f>
        <v>https://www.uta-net.com/song/4548/</v>
      </c>
    </row>
    <row r="35" spans="1:8" ht="30" customHeight="1">
      <c r="A35" s="7">
        <v>106</v>
      </c>
      <c r="B35" s="9" t="s">
        <v>63</v>
      </c>
      <c r="C35" s="9" t="s">
        <v>15</v>
      </c>
      <c r="D35" s="8">
        <v>38462</v>
      </c>
      <c r="E35" s="2" t="s">
        <v>13</v>
      </c>
      <c r="F35" s="15" t="b">
        <v>1</v>
      </c>
      <c r="G35" s="10" t="str">
        <f>ランキング1000曲!E112</f>
        <v>4級</v>
      </c>
      <c r="H35" s="11" t="str">
        <f>ランキング1000曲!G112</f>
        <v>https://www.uta-net.com/song/25879/</v>
      </c>
    </row>
    <row r="36" spans="1:8" ht="30" customHeight="1">
      <c r="A36" s="7">
        <v>113</v>
      </c>
      <c r="B36" s="9" t="s">
        <v>64</v>
      </c>
      <c r="C36" s="9" t="s">
        <v>65</v>
      </c>
      <c r="D36" s="8">
        <v>38337</v>
      </c>
      <c r="E36" s="2" t="s">
        <v>13</v>
      </c>
      <c r="F36" s="15" t="b">
        <v>0</v>
      </c>
      <c r="G36" s="10" t="str">
        <f>ランキング1000曲!E119</f>
        <v>4級</v>
      </c>
      <c r="H36" s="11" t="str">
        <f>ランキング1000曲!G119</f>
        <v>https://www.uta-net.com/song/117619/</v>
      </c>
    </row>
    <row r="37" spans="1:8" ht="42" customHeight="1">
      <c r="A37" s="7">
        <v>114</v>
      </c>
      <c r="B37" s="9" t="s">
        <v>66</v>
      </c>
      <c r="C37" s="9" t="s">
        <v>67</v>
      </c>
      <c r="D37" s="8">
        <v>32834</v>
      </c>
      <c r="E37" s="2" t="s">
        <v>13</v>
      </c>
      <c r="F37" s="15" t="b">
        <v>1</v>
      </c>
      <c r="G37" s="10" t="str">
        <f>ランキング1000曲!E120</f>
        <v>4級</v>
      </c>
      <c r="H37" s="11" t="str">
        <f>ランキング1000曲!G120</f>
        <v>https://www.uta-net.com/song/4388/</v>
      </c>
    </row>
    <row r="38" spans="1:8" ht="30" customHeight="1">
      <c r="A38" s="7">
        <v>119</v>
      </c>
      <c r="B38" s="9" t="s">
        <v>68</v>
      </c>
      <c r="C38" s="9" t="s">
        <v>47</v>
      </c>
      <c r="D38" s="8">
        <v>38854</v>
      </c>
      <c r="E38" s="2" t="s">
        <v>13</v>
      </c>
      <c r="F38" s="15" t="b">
        <v>0</v>
      </c>
      <c r="G38" s="10" t="str">
        <f>ランキング1000曲!E125</f>
        <v>4級</v>
      </c>
      <c r="H38" s="11" t="str">
        <f>ランキング1000曲!G125</f>
        <v>https://www.uta-net.com/song/42155/</v>
      </c>
    </row>
    <row r="39" spans="1:8" ht="30" customHeight="1">
      <c r="A39" s="7">
        <v>122</v>
      </c>
      <c r="B39" s="9" t="s">
        <v>69</v>
      </c>
      <c r="C39" s="9" t="s">
        <v>70</v>
      </c>
      <c r="D39" s="8">
        <v>36964</v>
      </c>
      <c r="E39" s="2" t="s">
        <v>13</v>
      </c>
      <c r="F39" s="15" t="b">
        <v>1</v>
      </c>
      <c r="G39" s="10" t="str">
        <f>ランキング1000曲!E128</f>
        <v>4級</v>
      </c>
      <c r="H39" s="11" t="str">
        <f>ランキング1000曲!G128</f>
        <v>https://www.uta-net.com/song/12840/</v>
      </c>
    </row>
    <row r="40" spans="1:8" ht="30" customHeight="1">
      <c r="A40" s="7">
        <v>125</v>
      </c>
      <c r="B40" s="9" t="s">
        <v>71</v>
      </c>
      <c r="C40" s="9" t="s">
        <v>72</v>
      </c>
      <c r="D40" s="8">
        <v>39750</v>
      </c>
      <c r="E40" s="2" t="s">
        <v>13</v>
      </c>
      <c r="F40" s="15" t="b">
        <v>0</v>
      </c>
      <c r="G40" s="10" t="str">
        <f>ランキング1000曲!E131</f>
        <v>4級</v>
      </c>
      <c r="H40" s="11" t="str">
        <f>ランキング1000曲!G131</f>
        <v>https://www.uta-net.com/song/58228/</v>
      </c>
    </row>
    <row r="41" spans="1:8" ht="30" customHeight="1">
      <c r="A41" s="7">
        <v>127</v>
      </c>
      <c r="B41" s="9" t="s">
        <v>73</v>
      </c>
      <c r="C41" s="9" t="s">
        <v>74</v>
      </c>
      <c r="D41" s="8">
        <v>39988</v>
      </c>
      <c r="E41" s="2" t="s">
        <v>13</v>
      </c>
      <c r="F41" s="15" t="b">
        <v>1</v>
      </c>
      <c r="G41" s="10" t="str">
        <f>ランキング1000曲!E133</f>
        <v>4級</v>
      </c>
      <c r="H41" s="11" t="str">
        <f>ランキング1000曲!G133</f>
        <v>https://www.uta-net.com/song/80300/</v>
      </c>
    </row>
    <row r="42" spans="1:8" ht="30" customHeight="1">
      <c r="A42" s="7">
        <v>133</v>
      </c>
      <c r="B42" s="9" t="s">
        <v>75</v>
      </c>
      <c r="C42" s="9" t="s">
        <v>65</v>
      </c>
      <c r="D42" s="8">
        <v>38483</v>
      </c>
      <c r="E42" s="2" t="s">
        <v>13</v>
      </c>
      <c r="F42" s="15" t="b">
        <v>0</v>
      </c>
      <c r="G42" s="10" t="str">
        <f>ランキング1000曲!E139</f>
        <v>4級</v>
      </c>
      <c r="H42" s="11" t="str">
        <f>ランキング1000曲!G139</f>
        <v>https://www.uta-net.com/song/159065/</v>
      </c>
    </row>
    <row r="43" spans="1:8" ht="30" customHeight="1">
      <c r="A43" s="7">
        <v>138</v>
      </c>
      <c r="B43" s="9" t="s">
        <v>76</v>
      </c>
      <c r="C43" s="9" t="s">
        <v>77</v>
      </c>
      <c r="D43" s="8">
        <v>40086</v>
      </c>
      <c r="E43" s="2" t="s">
        <v>13</v>
      </c>
      <c r="F43" s="15" t="b">
        <v>0</v>
      </c>
      <c r="G43" s="10" t="str">
        <f>ランキング1000曲!E144</f>
        <v>4級</v>
      </c>
      <c r="H43" s="11" t="str">
        <f>ランキング1000曲!G144</f>
        <v>https://www.uta-net.com/song/83580/</v>
      </c>
    </row>
    <row r="44" spans="1:8" ht="30" customHeight="1">
      <c r="A44" s="7">
        <v>139</v>
      </c>
      <c r="B44" s="9" t="s">
        <v>78</v>
      </c>
      <c r="C44" s="9" t="s">
        <v>79</v>
      </c>
      <c r="D44" s="8">
        <v>39855</v>
      </c>
      <c r="E44" s="2" t="s">
        <v>13</v>
      </c>
      <c r="F44" s="15" t="b">
        <v>1</v>
      </c>
      <c r="G44" s="10" t="str">
        <f>ランキング1000曲!E145</f>
        <v>4級</v>
      </c>
      <c r="H44" s="11" t="str">
        <f>ランキング1000曲!G145</f>
        <v>https://www.uta-net.com/song/75505/</v>
      </c>
    </row>
    <row r="45" spans="1:8" ht="30" customHeight="1">
      <c r="A45" s="7">
        <v>141</v>
      </c>
      <c r="B45" s="9" t="s">
        <v>80</v>
      </c>
      <c r="C45" s="9" t="s">
        <v>81</v>
      </c>
      <c r="D45" s="8">
        <v>33826</v>
      </c>
      <c r="E45" s="2" t="s">
        <v>13</v>
      </c>
      <c r="F45" s="15" t="b">
        <v>0</v>
      </c>
      <c r="G45" s="10" t="str">
        <f>ランキング1000曲!E147</f>
        <v>4級</v>
      </c>
      <c r="H45" s="11" t="str">
        <f>ランキング1000曲!G147</f>
        <v>https://www.uta-net.com/song/2013/</v>
      </c>
    </row>
    <row r="46" spans="1:8" ht="30" customHeight="1">
      <c r="A46" s="7">
        <v>144</v>
      </c>
      <c r="B46" s="9" t="s">
        <v>82</v>
      </c>
      <c r="C46" s="9" t="s">
        <v>83</v>
      </c>
      <c r="D46" s="8">
        <v>36229</v>
      </c>
      <c r="E46" s="2" t="s">
        <v>13</v>
      </c>
      <c r="F46" s="15" t="b">
        <v>1</v>
      </c>
      <c r="G46" s="10" t="str">
        <f>ランキング1000曲!E150</f>
        <v>4級</v>
      </c>
      <c r="H46" s="11" t="str">
        <f>ランキング1000曲!G150</f>
        <v>https://www.uta-net.com/song/11567/</v>
      </c>
    </row>
    <row r="47" spans="1:8" ht="30" customHeight="1">
      <c r="A47" s="7">
        <v>147</v>
      </c>
      <c r="B47" s="9" t="s">
        <v>84</v>
      </c>
      <c r="C47" s="9" t="s">
        <v>27</v>
      </c>
      <c r="D47" s="8">
        <v>38196</v>
      </c>
      <c r="E47" s="2" t="s">
        <v>13</v>
      </c>
      <c r="F47" s="15" t="b">
        <v>1</v>
      </c>
      <c r="G47" s="10" t="str">
        <f>ランキング1000曲!E153</f>
        <v>4級</v>
      </c>
      <c r="H47" s="11" t="str">
        <f>ランキング1000曲!G153</f>
        <v>https://www.uta-net.com/song/13435/</v>
      </c>
    </row>
    <row r="48" spans="1:8" ht="30" customHeight="1">
      <c r="A48" s="7">
        <v>153</v>
      </c>
      <c r="B48" s="9" t="s">
        <v>85</v>
      </c>
      <c r="C48" s="9" t="s">
        <v>86</v>
      </c>
      <c r="D48" s="8">
        <v>36481</v>
      </c>
      <c r="E48" s="2" t="s">
        <v>13</v>
      </c>
      <c r="F48" s="15" t="b">
        <v>1</v>
      </c>
      <c r="G48" s="10" t="str">
        <f>ランキング1000曲!E159</f>
        <v>4級</v>
      </c>
      <c r="H48" s="11" t="str">
        <f>ランキング1000曲!G159</f>
        <v>https://www.uta-net.com/song/12170/</v>
      </c>
    </row>
    <row r="49" spans="1:8" ht="30" customHeight="1">
      <c r="A49" s="7">
        <v>159</v>
      </c>
      <c r="B49" s="9" t="s">
        <v>87</v>
      </c>
      <c r="C49" s="9" t="s">
        <v>88</v>
      </c>
      <c r="D49" s="8">
        <v>33079</v>
      </c>
      <c r="E49" s="2" t="s">
        <v>13</v>
      </c>
      <c r="F49" s="15" t="b">
        <v>1</v>
      </c>
      <c r="G49" s="10" t="str">
        <f>ランキング1000曲!E165</f>
        <v>4級</v>
      </c>
      <c r="H49" s="11" t="str">
        <f>ランキング1000曲!G165</f>
        <v>https://www.uta-net.com/song/4273/</v>
      </c>
    </row>
    <row r="50" spans="1:8" ht="30" customHeight="1">
      <c r="A50" s="7">
        <v>160</v>
      </c>
      <c r="B50" s="9" t="s">
        <v>89</v>
      </c>
      <c r="C50" s="9" t="s">
        <v>47</v>
      </c>
      <c r="D50" s="8">
        <v>38924</v>
      </c>
      <c r="E50" s="2" t="s">
        <v>13</v>
      </c>
      <c r="F50" s="15" t="b">
        <v>1</v>
      </c>
      <c r="G50" s="10" t="str">
        <f>ランキング1000曲!E166</f>
        <v>4級</v>
      </c>
      <c r="H50" s="11" t="str">
        <f>ランキング1000曲!G166</f>
        <v>https://www.uta-net.com/song/44289/</v>
      </c>
    </row>
    <row r="51" spans="1:8" ht="30" customHeight="1">
      <c r="A51" s="7">
        <v>162</v>
      </c>
      <c r="B51" s="9" t="s">
        <v>90</v>
      </c>
      <c r="C51" s="9" t="s">
        <v>91</v>
      </c>
      <c r="D51" s="8">
        <v>37048</v>
      </c>
      <c r="E51" s="2" t="s">
        <v>13</v>
      </c>
      <c r="F51" s="15" t="b">
        <v>1</v>
      </c>
      <c r="G51" s="10" t="str">
        <f>ランキング1000曲!E168</f>
        <v>4級</v>
      </c>
      <c r="H51" s="11" t="str">
        <f>ランキング1000曲!G168</f>
        <v>https://www.uta-net.com/song/13241/</v>
      </c>
    </row>
    <row r="52" spans="1:8" ht="30" customHeight="1">
      <c r="A52" s="7">
        <v>163</v>
      </c>
      <c r="B52" s="9" t="s">
        <v>92</v>
      </c>
      <c r="C52" s="9" t="s">
        <v>45</v>
      </c>
      <c r="D52" s="8">
        <v>39330</v>
      </c>
      <c r="E52" s="2" t="s">
        <v>13</v>
      </c>
      <c r="F52" s="15" t="b">
        <v>1</v>
      </c>
      <c r="G52" s="10" t="str">
        <f>ランキング1000曲!E169</f>
        <v>4級</v>
      </c>
      <c r="H52" s="11" t="str">
        <f>ランキング1000曲!G169</f>
        <v>https://www.uta-net.com/song/56474/</v>
      </c>
    </row>
    <row r="53" spans="1:8" ht="30" customHeight="1">
      <c r="A53" s="7">
        <v>172</v>
      </c>
      <c r="B53" s="9" t="s">
        <v>93</v>
      </c>
      <c r="C53" s="9" t="s">
        <v>94</v>
      </c>
      <c r="D53" s="8">
        <v>36425</v>
      </c>
      <c r="E53" s="2" t="s">
        <v>13</v>
      </c>
      <c r="F53" s="15" t="b">
        <v>0</v>
      </c>
      <c r="G53" s="10" t="str">
        <f>ランキング1000曲!E178</f>
        <v>4級</v>
      </c>
      <c r="H53" s="11" t="str">
        <f>ランキング1000曲!G178</f>
        <v>https://www.uta-net.com/song/51083/</v>
      </c>
    </row>
    <row r="54" spans="1:8" ht="30" customHeight="1">
      <c r="A54" s="7">
        <v>176</v>
      </c>
      <c r="B54" s="9" t="s">
        <v>95</v>
      </c>
      <c r="C54" s="9" t="s">
        <v>29</v>
      </c>
      <c r="D54" s="8">
        <v>38981</v>
      </c>
      <c r="E54" s="2" t="s">
        <v>13</v>
      </c>
      <c r="F54" s="15" t="b">
        <v>0</v>
      </c>
      <c r="G54" s="10" t="str">
        <f>ランキング1000曲!E182</f>
        <v>4級</v>
      </c>
      <c r="H54" s="11" t="str">
        <f>ランキング1000曲!G182</f>
        <v>https://www.uta-net.com/song/13892/</v>
      </c>
    </row>
    <row r="55" spans="1:8" ht="30" customHeight="1">
      <c r="A55" s="7">
        <v>181</v>
      </c>
      <c r="B55" s="9" t="s">
        <v>96</v>
      </c>
      <c r="C55" s="9" t="s">
        <v>29</v>
      </c>
      <c r="D55" s="8">
        <v>33508</v>
      </c>
      <c r="E55" s="2" t="s">
        <v>13</v>
      </c>
      <c r="F55" s="15" t="b">
        <v>0</v>
      </c>
      <c r="G55" s="10" t="str">
        <f>ランキング1000曲!E187</f>
        <v>4級</v>
      </c>
      <c r="H55" s="11" t="str">
        <f>ランキング1000曲!G187</f>
        <v>https://www.uta-net.com/song/13899/</v>
      </c>
    </row>
    <row r="56" spans="1:8" ht="30" customHeight="1">
      <c r="A56" s="7">
        <v>183</v>
      </c>
      <c r="B56" s="9" t="s">
        <v>97</v>
      </c>
      <c r="C56" s="9" t="s">
        <v>98</v>
      </c>
      <c r="D56" s="8">
        <v>38028</v>
      </c>
      <c r="E56" s="2" t="s">
        <v>13</v>
      </c>
      <c r="F56" s="15" t="b">
        <v>1</v>
      </c>
      <c r="G56" s="10" t="str">
        <f>ランキング1000曲!E189</f>
        <v>4級</v>
      </c>
      <c r="H56" s="11" t="str">
        <f>ランキング1000曲!G189</f>
        <v>https://www.uta-net.com/song/18574/</v>
      </c>
    </row>
    <row r="57" spans="1:8" ht="30" customHeight="1">
      <c r="A57" s="7">
        <v>186</v>
      </c>
      <c r="B57" s="9" t="s">
        <v>99</v>
      </c>
      <c r="C57" s="9" t="s">
        <v>100</v>
      </c>
      <c r="D57" s="8">
        <v>38280</v>
      </c>
      <c r="E57" s="2" t="s">
        <v>13</v>
      </c>
      <c r="F57" s="15" t="b">
        <v>1</v>
      </c>
      <c r="G57" s="10" t="str">
        <f>ランキング1000曲!E192</f>
        <v>4級</v>
      </c>
      <c r="H57" s="11" t="str">
        <f>ランキング1000曲!G192</f>
        <v>https://www.uta-net.com/song/20742/</v>
      </c>
    </row>
    <row r="58" spans="1:8" ht="42" customHeight="1">
      <c r="A58" s="7">
        <v>190</v>
      </c>
      <c r="B58" s="9" t="s">
        <v>101</v>
      </c>
      <c r="C58" s="9" t="s">
        <v>67</v>
      </c>
      <c r="D58" s="8">
        <v>38035</v>
      </c>
      <c r="E58" s="2" t="s">
        <v>13</v>
      </c>
      <c r="F58" s="15" t="b">
        <v>1</v>
      </c>
      <c r="G58" s="10" t="str">
        <f>ランキング1000曲!E196</f>
        <v>4級</v>
      </c>
      <c r="H58" s="11" t="str">
        <f>ランキング1000曲!G196</f>
        <v>https://www.uta-net.com/song/18650/</v>
      </c>
    </row>
    <row r="59" spans="1:8" ht="30" customHeight="1">
      <c r="A59" s="7">
        <v>192</v>
      </c>
      <c r="B59" s="9" t="s">
        <v>102</v>
      </c>
      <c r="C59" s="9" t="s">
        <v>25</v>
      </c>
      <c r="D59" s="8">
        <v>34794</v>
      </c>
      <c r="E59" s="2" t="s">
        <v>13</v>
      </c>
      <c r="F59" s="15" t="b">
        <v>1</v>
      </c>
      <c r="G59" s="10" t="str">
        <f>ランキング1000曲!E198</f>
        <v>4級</v>
      </c>
      <c r="H59" s="11" t="str">
        <f>ランキング1000曲!G198</f>
        <v>https://www.uta-net.com/song/8487/</v>
      </c>
    </row>
    <row r="60" spans="1:8" ht="30" customHeight="1">
      <c r="A60" s="7">
        <v>194</v>
      </c>
      <c r="B60" s="9" t="s">
        <v>103</v>
      </c>
      <c r="C60" s="9" t="s">
        <v>104</v>
      </c>
      <c r="D60" s="8">
        <v>34479</v>
      </c>
      <c r="E60" s="2" t="s">
        <v>13</v>
      </c>
      <c r="F60" s="15" t="b">
        <v>0</v>
      </c>
      <c r="G60" s="10" t="str">
        <f>ランキング1000曲!E200</f>
        <v>4級</v>
      </c>
      <c r="H60" s="11" t="str">
        <f>ランキング1000曲!G200</f>
        <v>https://www.uta-net.com/song/1813/</v>
      </c>
    </row>
    <row r="61" spans="1:8" ht="30" customHeight="1">
      <c r="A61" s="7">
        <v>198</v>
      </c>
      <c r="B61" s="9" t="s">
        <v>105</v>
      </c>
      <c r="C61" s="9" t="s">
        <v>106</v>
      </c>
      <c r="D61" s="8">
        <v>36973</v>
      </c>
      <c r="E61" s="2" t="s">
        <v>13</v>
      </c>
      <c r="F61" s="15" t="b">
        <v>1</v>
      </c>
      <c r="G61" s="10" t="str">
        <f>ランキング1000曲!E204</f>
        <v>4級</v>
      </c>
      <c r="H61" s="11" t="str">
        <f>ランキング1000曲!G204</f>
        <v>https://www.uta-net.com/song/51752/</v>
      </c>
    </row>
    <row r="62" spans="1:8" ht="30" customHeight="1">
      <c r="A62" s="7">
        <v>200</v>
      </c>
      <c r="B62" s="9" t="s">
        <v>107</v>
      </c>
      <c r="C62" s="9" t="s">
        <v>108</v>
      </c>
      <c r="D62" s="8">
        <v>39274</v>
      </c>
      <c r="E62" s="2" t="s">
        <v>13</v>
      </c>
      <c r="F62" s="15" t="b">
        <v>0</v>
      </c>
      <c r="G62" s="10" t="str">
        <f>ランキング1000曲!E206</f>
        <v>4級</v>
      </c>
      <c r="H62" s="11" t="str">
        <f>ランキング1000曲!G206</f>
        <v>https://www.uta-net.com/song/55449/</v>
      </c>
    </row>
    <row r="63" spans="1:8" ht="30" customHeight="1">
      <c r="A63" s="7">
        <v>202</v>
      </c>
      <c r="B63" s="9" t="s">
        <v>109</v>
      </c>
      <c r="C63" s="9" t="s">
        <v>110</v>
      </c>
      <c r="D63" s="8">
        <v>38784</v>
      </c>
      <c r="E63" s="2" t="s">
        <v>13</v>
      </c>
      <c r="F63" s="15" t="b">
        <v>1</v>
      </c>
      <c r="G63" s="10" t="str">
        <f>ランキング1000曲!E208</f>
        <v>3級</v>
      </c>
      <c r="H63" s="11" t="str">
        <f>ランキング1000曲!G208</f>
        <v>https://www.uta-net.com/song/37486/</v>
      </c>
    </row>
    <row r="64" spans="1:8" ht="30" customHeight="1">
      <c r="A64" s="7">
        <v>205</v>
      </c>
      <c r="B64" s="9" t="s">
        <v>111</v>
      </c>
      <c r="C64" s="9" t="s">
        <v>110</v>
      </c>
      <c r="D64" s="8">
        <v>39239</v>
      </c>
      <c r="E64" s="2" t="s">
        <v>13</v>
      </c>
      <c r="F64" s="15" t="b">
        <v>1</v>
      </c>
      <c r="G64" s="10" t="str">
        <f>ランキング1000曲!E211</f>
        <v>3級</v>
      </c>
      <c r="H64" s="11" t="str">
        <f>ランキング1000曲!G211</f>
        <v>https://www.uta-net.com/song/54320/</v>
      </c>
    </row>
    <row r="65" spans="1:8" ht="30" customHeight="1">
      <c r="A65" s="7">
        <v>206</v>
      </c>
      <c r="B65" s="9" t="s">
        <v>112</v>
      </c>
      <c r="C65" s="9" t="s">
        <v>29</v>
      </c>
      <c r="D65" s="8">
        <v>38833</v>
      </c>
      <c r="E65" s="2" t="s">
        <v>13</v>
      </c>
      <c r="F65" s="15" t="b">
        <v>0</v>
      </c>
      <c r="G65" s="10" t="str">
        <f>ランキング1000曲!E212</f>
        <v>3級</v>
      </c>
      <c r="H65" s="11" t="str">
        <f>ランキング1000曲!G212</f>
        <v>https://www.uta-net.com/song/41660/</v>
      </c>
    </row>
    <row r="66" spans="1:8" ht="30" customHeight="1">
      <c r="A66" s="7">
        <v>207</v>
      </c>
      <c r="B66" s="9" t="s">
        <v>113</v>
      </c>
      <c r="C66" s="9" t="s">
        <v>29</v>
      </c>
      <c r="D66" s="8">
        <v>39302</v>
      </c>
      <c r="E66" s="2" t="s">
        <v>13</v>
      </c>
      <c r="F66" s="15" t="b">
        <v>0</v>
      </c>
      <c r="G66" s="10" t="str">
        <f>ランキング1000曲!E213</f>
        <v>3級</v>
      </c>
      <c r="H66" s="11" t="str">
        <f>ランキング1000曲!G213</f>
        <v>https://www.uta-net.com/song/57208/</v>
      </c>
    </row>
    <row r="67" spans="1:8" ht="30" customHeight="1">
      <c r="A67" s="7">
        <v>208</v>
      </c>
      <c r="B67" s="9" t="s">
        <v>114</v>
      </c>
      <c r="C67" s="9" t="s">
        <v>115</v>
      </c>
      <c r="D67" s="8">
        <v>33161</v>
      </c>
      <c r="E67" s="2" t="s">
        <v>13</v>
      </c>
      <c r="F67" s="15" t="b">
        <v>1</v>
      </c>
      <c r="G67" s="10" t="str">
        <f>ランキング1000曲!E214</f>
        <v>3級</v>
      </c>
      <c r="H67" s="11" t="str">
        <f>ランキング1000曲!G214</f>
        <v>https://www.uta-net.com/song/188/</v>
      </c>
    </row>
    <row r="68" spans="1:8" ht="30" customHeight="1">
      <c r="A68" s="7">
        <v>210</v>
      </c>
      <c r="B68" s="9" t="s">
        <v>116</v>
      </c>
      <c r="C68" s="9" t="s">
        <v>117</v>
      </c>
      <c r="D68" s="8">
        <v>35543</v>
      </c>
      <c r="E68" s="2" t="s">
        <v>13</v>
      </c>
      <c r="F68" s="15" t="b">
        <v>0</v>
      </c>
      <c r="G68" s="10" t="str">
        <f>ランキング1000曲!E216</f>
        <v>3級</v>
      </c>
      <c r="H68" s="11" t="str">
        <f>ランキング1000曲!G216</f>
        <v>https://www.uta-net.com/song/34909/</v>
      </c>
    </row>
    <row r="69" spans="1:8" ht="30" customHeight="1">
      <c r="A69" s="7">
        <v>211</v>
      </c>
      <c r="B69" s="9" t="s">
        <v>118</v>
      </c>
      <c r="C69" s="9" t="s">
        <v>119</v>
      </c>
      <c r="D69" s="8">
        <v>38159</v>
      </c>
      <c r="E69" s="2" t="s">
        <v>13</v>
      </c>
      <c r="F69" s="15" t="b">
        <v>1</v>
      </c>
      <c r="G69" s="10" t="str">
        <f>ランキング1000曲!E217</f>
        <v>3級</v>
      </c>
      <c r="H69" s="11" t="str">
        <f>ランキング1000曲!G217</f>
        <v>https://www.uta-net.com/song/17920/</v>
      </c>
    </row>
    <row r="70" spans="1:8" ht="30" customHeight="1">
      <c r="A70" s="7">
        <v>214</v>
      </c>
      <c r="B70" s="9" t="s">
        <v>120</v>
      </c>
      <c r="C70" s="9" t="s">
        <v>29</v>
      </c>
      <c r="D70" s="8">
        <v>38987</v>
      </c>
      <c r="E70" s="2" t="s">
        <v>13</v>
      </c>
      <c r="F70" s="15" t="b">
        <v>0</v>
      </c>
      <c r="G70" s="10" t="str">
        <f>ランキング1000曲!E220</f>
        <v>3級</v>
      </c>
      <c r="H70" s="11" t="str">
        <f>ランキング1000曲!G220</f>
        <v>https://www.uta-net.com/song/13979/</v>
      </c>
    </row>
    <row r="71" spans="1:8" ht="30" customHeight="1">
      <c r="A71" s="7">
        <v>217</v>
      </c>
      <c r="B71" s="9" t="s">
        <v>121</v>
      </c>
      <c r="C71" s="9" t="s">
        <v>122</v>
      </c>
      <c r="D71" s="8">
        <v>34675</v>
      </c>
      <c r="E71" s="2" t="s">
        <v>13</v>
      </c>
      <c r="F71" s="15" t="b">
        <v>1</v>
      </c>
      <c r="G71" s="10" t="str">
        <f>ランキング1000曲!E223</f>
        <v>3級</v>
      </c>
      <c r="H71" s="11" t="str">
        <f>ランキング1000曲!G223</f>
        <v>https://www.uta-net.com/song/352/</v>
      </c>
    </row>
    <row r="72" spans="1:8" ht="30" customHeight="1">
      <c r="A72" s="7">
        <v>218</v>
      </c>
      <c r="B72" s="9" t="s">
        <v>123</v>
      </c>
      <c r="C72" s="9" t="s">
        <v>124</v>
      </c>
      <c r="D72" s="8">
        <v>40030</v>
      </c>
      <c r="E72" s="2" t="s">
        <v>13</v>
      </c>
      <c r="F72" s="15" t="b">
        <v>0</v>
      </c>
      <c r="G72" s="10" t="str">
        <f>ランキング1000曲!E224</f>
        <v>3級</v>
      </c>
      <c r="H72" s="11" t="str">
        <f>ランキング1000曲!G224</f>
        <v>https://www.uta-net.com/song/81656/</v>
      </c>
    </row>
    <row r="73" spans="1:8" ht="30" customHeight="1">
      <c r="A73" s="7">
        <v>219</v>
      </c>
      <c r="B73" s="9" t="s">
        <v>125</v>
      </c>
      <c r="C73" s="9" t="s">
        <v>126</v>
      </c>
      <c r="D73" s="8">
        <v>38282</v>
      </c>
      <c r="E73" s="2" t="s">
        <v>13</v>
      </c>
      <c r="F73" s="15" t="b">
        <v>1</v>
      </c>
      <c r="G73" s="10" t="str">
        <f>ランキング1000曲!E225</f>
        <v>3級</v>
      </c>
      <c r="H73" s="11" t="str">
        <f>ランキング1000曲!G225</f>
        <v>https://www.uta-net.com/song/14341/</v>
      </c>
    </row>
    <row r="74" spans="1:8" ht="30" customHeight="1">
      <c r="A74" s="7">
        <v>220</v>
      </c>
      <c r="B74" s="9" t="s">
        <v>127</v>
      </c>
      <c r="C74" s="9" t="s">
        <v>128</v>
      </c>
      <c r="D74" s="8">
        <v>34628</v>
      </c>
      <c r="E74" s="2" t="s">
        <v>13</v>
      </c>
      <c r="F74" s="15" t="b">
        <v>1</v>
      </c>
      <c r="G74" s="10" t="str">
        <f>ランキング1000曲!E226</f>
        <v>3級</v>
      </c>
      <c r="H74" s="11" t="str">
        <f>ランキング1000曲!G226</f>
        <v>https://www.uta-net.com/song/8097/</v>
      </c>
    </row>
    <row r="75" spans="1:8" ht="30" customHeight="1">
      <c r="A75" s="7">
        <v>221</v>
      </c>
      <c r="B75" s="9" t="s">
        <v>129</v>
      </c>
      <c r="C75" s="9" t="s">
        <v>23</v>
      </c>
      <c r="D75" s="8">
        <v>38672</v>
      </c>
      <c r="E75" s="2" t="s">
        <v>13</v>
      </c>
      <c r="F75" s="15" t="b">
        <v>1</v>
      </c>
      <c r="G75" s="10" t="str">
        <f>ランキング1000曲!E227</f>
        <v>3級</v>
      </c>
      <c r="H75" s="11" t="str">
        <f>ランキング1000曲!G227</f>
        <v>https://www.uta-net.com/song/35601/</v>
      </c>
    </row>
    <row r="76" spans="1:8" ht="30" customHeight="1">
      <c r="A76" s="7">
        <v>223</v>
      </c>
      <c r="B76" s="9" t="s">
        <v>130</v>
      </c>
      <c r="C76" s="9" t="s">
        <v>122</v>
      </c>
      <c r="D76" s="8">
        <v>34675</v>
      </c>
      <c r="E76" s="2" t="s">
        <v>13</v>
      </c>
      <c r="F76" s="15" t="b">
        <v>1</v>
      </c>
      <c r="G76" s="10" t="str">
        <f>ランキング1000曲!E229</f>
        <v>3級</v>
      </c>
      <c r="H76" s="11" t="str">
        <f>ランキング1000曲!G229</f>
        <v>https://www.uta-net.com/song/3088/</v>
      </c>
    </row>
    <row r="77" spans="1:8" ht="30" customHeight="1">
      <c r="A77" s="7">
        <v>224</v>
      </c>
      <c r="B77" s="9" t="s">
        <v>107</v>
      </c>
      <c r="C77" s="9" t="s">
        <v>131</v>
      </c>
      <c r="D77" s="8">
        <v>39576</v>
      </c>
      <c r="E77" s="2" t="s">
        <v>13</v>
      </c>
      <c r="F77" s="15" t="b">
        <v>1</v>
      </c>
      <c r="G77" s="10" t="str">
        <f>ランキング1000曲!E230</f>
        <v>3級</v>
      </c>
      <c r="H77" s="11" t="str">
        <f>ランキング1000曲!G230</f>
        <v>https://www.uta-net.com/song/64412/</v>
      </c>
    </row>
    <row r="78" spans="1:8" ht="30" customHeight="1">
      <c r="A78" s="7">
        <v>226</v>
      </c>
      <c r="B78" s="9" t="s">
        <v>132</v>
      </c>
      <c r="C78" s="9" t="s">
        <v>25</v>
      </c>
      <c r="D78" s="8">
        <v>34449</v>
      </c>
      <c r="E78" s="2" t="s">
        <v>13</v>
      </c>
      <c r="F78" s="15" t="b">
        <v>1</v>
      </c>
      <c r="G78" s="10" t="str">
        <f>ランキング1000曲!E232</f>
        <v>3級</v>
      </c>
      <c r="H78" s="11" t="str">
        <f>ランキング1000曲!G232</f>
        <v>https://www.uta-net.com/song/5344/</v>
      </c>
    </row>
    <row r="79" spans="1:8" ht="30" customHeight="1">
      <c r="A79" s="7">
        <v>227</v>
      </c>
      <c r="B79" s="9" t="s">
        <v>133</v>
      </c>
      <c r="C79" s="9" t="s">
        <v>134</v>
      </c>
      <c r="D79" s="8">
        <v>36964</v>
      </c>
      <c r="E79" s="2" t="s">
        <v>13</v>
      </c>
      <c r="F79" s="15" t="b">
        <v>1</v>
      </c>
      <c r="G79" s="10" t="str">
        <f>ランキング1000曲!E233</f>
        <v>3級</v>
      </c>
      <c r="H79" s="11" t="str">
        <f>ランキング1000曲!G233</f>
        <v>https://www.uta-net.com/song/12846/</v>
      </c>
    </row>
    <row r="80" spans="1:8" ht="30" customHeight="1">
      <c r="A80" s="7">
        <v>230</v>
      </c>
      <c r="B80" s="9" t="s">
        <v>135</v>
      </c>
      <c r="C80" s="9" t="s">
        <v>21</v>
      </c>
      <c r="D80" s="8">
        <v>32437</v>
      </c>
      <c r="E80" s="2" t="s">
        <v>13</v>
      </c>
      <c r="F80" s="15" t="b">
        <v>1</v>
      </c>
      <c r="G80" s="10" t="str">
        <f>ランキング1000曲!E236</f>
        <v>3級</v>
      </c>
      <c r="H80" s="11" t="str">
        <f>ランキング1000曲!G236</f>
        <v>https://www.uta-net.com/song/2416/</v>
      </c>
    </row>
    <row r="81" spans="1:8" ht="30" customHeight="1">
      <c r="A81" s="7">
        <v>231</v>
      </c>
      <c r="B81" s="9" t="s">
        <v>136</v>
      </c>
      <c r="C81" s="9" t="s">
        <v>19</v>
      </c>
      <c r="D81" s="8">
        <v>39036</v>
      </c>
      <c r="E81" s="2" t="s">
        <v>13</v>
      </c>
      <c r="F81" s="15" t="b">
        <v>1</v>
      </c>
      <c r="G81" s="10" t="str">
        <f>ランキング1000曲!E237</f>
        <v>3級</v>
      </c>
      <c r="H81" s="11" t="str">
        <f>ランキング1000曲!G237</f>
        <v>https://www.uta-net.com/song/47751/</v>
      </c>
    </row>
    <row r="82" spans="1:8" ht="30" customHeight="1">
      <c r="A82" s="7">
        <v>233</v>
      </c>
      <c r="B82" s="9" t="s">
        <v>137</v>
      </c>
      <c r="C82" s="9" t="s">
        <v>29</v>
      </c>
      <c r="D82" s="8">
        <v>38987</v>
      </c>
      <c r="E82" s="2" t="s">
        <v>13</v>
      </c>
      <c r="F82" s="15" t="b">
        <v>0</v>
      </c>
      <c r="G82" s="10" t="str">
        <f>ランキング1000曲!E239</f>
        <v>3級</v>
      </c>
      <c r="H82" s="11" t="str">
        <f>ランキング1000曲!G239</f>
        <v>https://www.uta-net.com/song/46404/</v>
      </c>
    </row>
    <row r="83" spans="1:8" ht="30" customHeight="1">
      <c r="A83" s="7">
        <v>235</v>
      </c>
      <c r="B83" s="9" t="s">
        <v>138</v>
      </c>
      <c r="C83" s="9" t="s">
        <v>19</v>
      </c>
      <c r="D83" s="8">
        <v>36089</v>
      </c>
      <c r="E83" s="2" t="s">
        <v>13</v>
      </c>
      <c r="F83" s="15" t="b">
        <v>1</v>
      </c>
      <c r="G83" s="10" t="str">
        <f>ランキング1000曲!E241</f>
        <v>3級</v>
      </c>
      <c r="H83" s="11" t="str">
        <f>ランキング1000曲!G241</f>
        <v>https://www.uta-net.com/song/10568/</v>
      </c>
    </row>
    <row r="84" spans="1:8" ht="30" customHeight="1">
      <c r="A84" s="7">
        <v>237</v>
      </c>
      <c r="B84" s="9" t="s">
        <v>139</v>
      </c>
      <c r="C84" s="9" t="s">
        <v>140</v>
      </c>
      <c r="D84" s="8">
        <v>37461</v>
      </c>
      <c r="E84" s="2" t="s">
        <v>13</v>
      </c>
      <c r="F84" s="15" t="b">
        <v>1</v>
      </c>
      <c r="G84" s="10" t="str">
        <f>ランキング1000曲!E243</f>
        <v>3級</v>
      </c>
      <c r="H84" s="11" t="str">
        <f>ランキング1000曲!G243</f>
        <v>https://www.uta-net.com/song/15894/</v>
      </c>
    </row>
    <row r="85" spans="1:8" ht="30" customHeight="1">
      <c r="A85" s="7">
        <v>243</v>
      </c>
      <c r="B85" s="9" t="s">
        <v>141</v>
      </c>
      <c r="C85" s="9" t="s">
        <v>142</v>
      </c>
      <c r="D85" s="8">
        <v>38469</v>
      </c>
      <c r="E85" s="2" t="s">
        <v>13</v>
      </c>
      <c r="F85" s="15" t="b">
        <v>1</v>
      </c>
      <c r="G85" s="10" t="str">
        <f>ランキング1000曲!E249</f>
        <v>3級</v>
      </c>
      <c r="H85" s="11" t="str">
        <f>ランキング1000曲!G249</f>
        <v>https://www.uta-net.com/song/50850/</v>
      </c>
    </row>
    <row r="86" spans="1:8" ht="30" customHeight="1">
      <c r="A86" s="7">
        <v>244</v>
      </c>
      <c r="B86" s="9" t="s">
        <v>143</v>
      </c>
      <c r="C86" s="9" t="s">
        <v>29</v>
      </c>
      <c r="D86" s="8">
        <v>38980</v>
      </c>
      <c r="E86" s="2" t="s">
        <v>13</v>
      </c>
      <c r="F86" s="15" t="b">
        <v>0</v>
      </c>
      <c r="G86" s="10" t="str">
        <f>ランキング1000曲!E250</f>
        <v>3級</v>
      </c>
      <c r="H86" s="11" t="str">
        <f>ランキング1000曲!G250</f>
        <v>https://www.uta-net.com/song/46445/</v>
      </c>
    </row>
    <row r="87" spans="1:8" ht="30" customHeight="1">
      <c r="A87" s="7">
        <v>245</v>
      </c>
      <c r="B87" s="9" t="s">
        <v>144</v>
      </c>
      <c r="C87" s="9" t="s">
        <v>45</v>
      </c>
      <c r="D87" s="8">
        <v>39330</v>
      </c>
      <c r="E87" s="2" t="s">
        <v>13</v>
      </c>
      <c r="F87" s="15" t="b">
        <v>0</v>
      </c>
      <c r="G87" s="10" t="str">
        <f>ランキング1000曲!E251</f>
        <v>3級</v>
      </c>
      <c r="H87" s="11" t="str">
        <f>ランキング1000曲!G251</f>
        <v>https://www.uta-net.com/song/56547/</v>
      </c>
    </row>
    <row r="88" spans="1:8" ht="30" customHeight="1">
      <c r="A88" s="7">
        <v>246</v>
      </c>
      <c r="B88" s="9" t="s">
        <v>145</v>
      </c>
      <c r="C88" s="9" t="s">
        <v>146</v>
      </c>
      <c r="D88" s="8">
        <v>37231</v>
      </c>
      <c r="E88" s="2" t="s">
        <v>13</v>
      </c>
      <c r="F88" s="15" t="b">
        <v>0</v>
      </c>
      <c r="G88" s="10" t="str">
        <f>ランキング1000曲!E252</f>
        <v>3級</v>
      </c>
      <c r="H88" s="11" t="str">
        <f>ランキング1000曲!G252</f>
        <v>https://www.uta-net.com/song/15002/</v>
      </c>
    </row>
    <row r="89" spans="1:8" ht="30" customHeight="1">
      <c r="A89" s="7">
        <v>248</v>
      </c>
      <c r="B89" s="9" t="s">
        <v>147</v>
      </c>
      <c r="C89" s="9" t="s">
        <v>148</v>
      </c>
      <c r="D89" s="8">
        <v>38770</v>
      </c>
      <c r="E89" s="2" t="s">
        <v>13</v>
      </c>
      <c r="F89" s="15" t="b">
        <v>0</v>
      </c>
      <c r="G89" s="10" t="str">
        <f>ランキング1000曲!E254</f>
        <v>3級</v>
      </c>
      <c r="H89" s="11" t="str">
        <f>ランキング1000曲!G254</f>
        <v>https://www.uta-net.com/song/13961/</v>
      </c>
    </row>
    <row r="90" spans="1:8" ht="30" customHeight="1">
      <c r="A90" s="7">
        <v>250</v>
      </c>
      <c r="B90" s="9" t="s">
        <v>149</v>
      </c>
      <c r="C90" s="9" t="s">
        <v>88</v>
      </c>
      <c r="D90" s="8">
        <v>36551</v>
      </c>
      <c r="E90" s="2" t="s">
        <v>13</v>
      </c>
      <c r="F90" s="15" t="b">
        <v>1</v>
      </c>
      <c r="G90" s="10" t="str">
        <f>ランキング1000曲!E256</f>
        <v>3級</v>
      </c>
      <c r="H90" s="11" t="str">
        <f>ランキング1000曲!G256</f>
        <v>https://www.uta-net.com/song/12255/</v>
      </c>
    </row>
    <row r="91" spans="1:8" ht="30" customHeight="1">
      <c r="A91" s="7">
        <v>251</v>
      </c>
      <c r="B91" s="9" t="s">
        <v>150</v>
      </c>
      <c r="C91" s="9" t="s">
        <v>151</v>
      </c>
      <c r="D91" s="8">
        <v>33996</v>
      </c>
      <c r="E91" s="2" t="s">
        <v>13</v>
      </c>
      <c r="F91" s="15" t="b">
        <v>1</v>
      </c>
      <c r="G91" s="10" t="str">
        <f>ランキング1000曲!E257</f>
        <v>3級</v>
      </c>
      <c r="H91" s="11" t="str">
        <f>ランキング1000曲!G257</f>
        <v>https://www.uta-net.com/song/4238/</v>
      </c>
    </row>
    <row r="92" spans="1:8" ht="30" customHeight="1">
      <c r="A92" s="7">
        <v>255</v>
      </c>
      <c r="B92" s="9" t="s">
        <v>152</v>
      </c>
      <c r="C92" s="9" t="s">
        <v>153</v>
      </c>
      <c r="D92" s="8">
        <v>36215</v>
      </c>
      <c r="E92" s="2" t="s">
        <v>13</v>
      </c>
      <c r="F92" s="15" t="b">
        <v>1</v>
      </c>
      <c r="G92" s="10" t="str">
        <f>ランキング1000曲!E261</f>
        <v>3級</v>
      </c>
      <c r="H92" s="11" t="str">
        <f>ランキング1000曲!G261</f>
        <v>https://www.uta-net.com/song/12950/</v>
      </c>
    </row>
    <row r="93" spans="1:8" ht="30" customHeight="1">
      <c r="A93" s="7">
        <v>257</v>
      </c>
      <c r="B93" s="9" t="s">
        <v>154</v>
      </c>
      <c r="C93" s="9" t="s">
        <v>155</v>
      </c>
      <c r="D93" s="8">
        <v>40107</v>
      </c>
      <c r="E93" s="2" t="s">
        <v>13</v>
      </c>
      <c r="F93" s="15" t="b">
        <v>0</v>
      </c>
      <c r="G93" s="10" t="str">
        <f>ランキング1000曲!E263</f>
        <v>3級</v>
      </c>
      <c r="H93" s="11" t="str">
        <f>ランキング1000曲!G263</f>
        <v>https://www.uta-net.com/song/84825/</v>
      </c>
    </row>
    <row r="94" spans="1:8" ht="30" customHeight="1">
      <c r="A94" s="7">
        <v>258</v>
      </c>
      <c r="B94" s="9" t="s">
        <v>156</v>
      </c>
      <c r="C94" s="9" t="s">
        <v>157</v>
      </c>
      <c r="D94" s="8">
        <v>38399</v>
      </c>
      <c r="E94" s="2" t="s">
        <v>13</v>
      </c>
      <c r="F94" s="15" t="b">
        <v>1</v>
      </c>
      <c r="G94" s="10" t="str">
        <f>ランキング1000曲!E264</f>
        <v>3級</v>
      </c>
      <c r="H94" s="11" t="str">
        <f>ランキング1000曲!G264</f>
        <v>https://www.uta-net.com/song/25395/</v>
      </c>
    </row>
    <row r="95" spans="1:8" ht="30" customHeight="1">
      <c r="A95" s="7">
        <v>261</v>
      </c>
      <c r="B95" s="9" t="s">
        <v>158</v>
      </c>
      <c r="C95" s="9" t="s">
        <v>159</v>
      </c>
      <c r="D95" s="8">
        <v>33745</v>
      </c>
      <c r="E95" s="2" t="s">
        <v>13</v>
      </c>
      <c r="F95" s="15" t="b">
        <v>1</v>
      </c>
      <c r="G95" s="10" t="str">
        <f>ランキング1000曲!E267</f>
        <v>3級</v>
      </c>
      <c r="H95" s="11" t="str">
        <f>ランキング1000曲!G267</f>
        <v>https://www.uta-net.com/song/3382/</v>
      </c>
    </row>
    <row r="96" spans="1:8" ht="30" customHeight="1">
      <c r="A96" s="7">
        <v>266</v>
      </c>
      <c r="B96" s="9" t="s">
        <v>160</v>
      </c>
      <c r="C96" s="9" t="s">
        <v>161</v>
      </c>
      <c r="D96" s="8">
        <v>39225</v>
      </c>
      <c r="E96" s="2" t="s">
        <v>13</v>
      </c>
      <c r="F96" s="15" t="b">
        <v>0</v>
      </c>
      <c r="G96" s="10" t="str">
        <f>ランキング1000曲!E272</f>
        <v>3級</v>
      </c>
      <c r="H96" s="11" t="str">
        <f>ランキング1000曲!G272</f>
        <v>https://www.uta-net.com/song/53041/</v>
      </c>
    </row>
    <row r="97" spans="1:8" ht="30" customHeight="1">
      <c r="A97" s="7">
        <v>267</v>
      </c>
      <c r="B97" s="9" t="s">
        <v>99</v>
      </c>
      <c r="C97" s="9" t="s">
        <v>29</v>
      </c>
      <c r="D97" s="8">
        <v>37518</v>
      </c>
      <c r="E97" s="2" t="s">
        <v>13</v>
      </c>
      <c r="F97" s="15" t="b">
        <v>0</v>
      </c>
      <c r="G97" s="10" t="str">
        <f>ランキング1000曲!E273</f>
        <v>3級</v>
      </c>
      <c r="H97" s="11" t="str">
        <f>ランキング1000曲!G273</f>
        <v>https://www.uta-net.com/song/5953/</v>
      </c>
    </row>
    <row r="98" spans="1:8" ht="30" customHeight="1">
      <c r="A98" s="7">
        <v>271</v>
      </c>
      <c r="B98" s="9" t="s">
        <v>162</v>
      </c>
      <c r="C98" s="9" t="s">
        <v>47</v>
      </c>
      <c r="D98" s="8">
        <v>39057</v>
      </c>
      <c r="E98" s="2" t="s">
        <v>13</v>
      </c>
      <c r="F98" s="15" t="b">
        <v>0</v>
      </c>
      <c r="G98" s="10" t="str">
        <f>ランキング1000曲!E277</f>
        <v>3級</v>
      </c>
      <c r="H98" s="11" t="str">
        <f>ランキング1000曲!G277</f>
        <v>https://www.uta-net.com/song/49385/</v>
      </c>
    </row>
    <row r="99" spans="1:8" ht="30" customHeight="1">
      <c r="A99" s="7">
        <v>272</v>
      </c>
      <c r="B99" s="9" t="s">
        <v>163</v>
      </c>
      <c r="C99" s="9" t="s">
        <v>155</v>
      </c>
      <c r="D99" s="8">
        <v>40149</v>
      </c>
      <c r="E99" s="2" t="s">
        <v>13</v>
      </c>
      <c r="F99" s="15" t="b">
        <v>0</v>
      </c>
      <c r="G99" s="10" t="str">
        <f>ランキング1000曲!E278</f>
        <v>3級</v>
      </c>
      <c r="H99" s="11" t="str">
        <f>ランキング1000曲!G278</f>
        <v>https://www.uta-net.com/song/86831/</v>
      </c>
    </row>
    <row r="100" spans="1:8" ht="30" customHeight="1">
      <c r="A100" s="7">
        <v>273</v>
      </c>
      <c r="B100" s="9" t="s">
        <v>164</v>
      </c>
      <c r="C100" s="9" t="s">
        <v>165</v>
      </c>
      <c r="D100" s="8">
        <v>39218</v>
      </c>
      <c r="E100" s="2" t="s">
        <v>13</v>
      </c>
      <c r="F100" s="15" t="b">
        <v>0</v>
      </c>
      <c r="G100" s="10" t="str">
        <f>ランキング1000曲!E279</f>
        <v>3級</v>
      </c>
      <c r="H100" s="11" t="str">
        <f>ランキング1000曲!G279</f>
        <v>https://www.uta-net.com/song/53770/</v>
      </c>
    </row>
    <row r="101" spans="1:8" ht="30" customHeight="1">
      <c r="A101" s="7">
        <v>274</v>
      </c>
      <c r="B101" s="9" t="s">
        <v>166</v>
      </c>
      <c r="C101" s="9" t="s">
        <v>19</v>
      </c>
      <c r="D101" s="8">
        <v>38133</v>
      </c>
      <c r="E101" s="2" t="s">
        <v>13</v>
      </c>
      <c r="F101" s="15" t="b">
        <v>0</v>
      </c>
      <c r="G101" s="10" t="str">
        <f>ランキング1000曲!E280</f>
        <v>3級</v>
      </c>
      <c r="H101" s="11" t="str">
        <f>ランキング1000曲!G280</f>
        <v>https://www.uta-net.com/song/19112/</v>
      </c>
    </row>
    <row r="102" spans="1:8" ht="30" customHeight="1">
      <c r="A102" s="7">
        <v>277</v>
      </c>
      <c r="B102" s="9" t="s">
        <v>167</v>
      </c>
      <c r="C102" s="9" t="s">
        <v>168</v>
      </c>
      <c r="D102" s="8">
        <v>36852</v>
      </c>
      <c r="E102" s="2" t="s">
        <v>13</v>
      </c>
      <c r="F102" s="15" t="b">
        <v>1</v>
      </c>
      <c r="G102" s="10" t="str">
        <f>ランキング1000曲!E283</f>
        <v>3級</v>
      </c>
      <c r="H102" s="11" t="str">
        <f>ランキング1000曲!G283</f>
        <v>https://www.uta-net.com/song/1705/</v>
      </c>
    </row>
    <row r="103" spans="1:8" ht="30" customHeight="1">
      <c r="A103" s="7">
        <v>280</v>
      </c>
      <c r="B103" s="9" t="s">
        <v>169</v>
      </c>
      <c r="C103" s="9" t="s">
        <v>25</v>
      </c>
      <c r="D103" s="8">
        <v>35983</v>
      </c>
      <c r="E103" s="2" t="s">
        <v>13</v>
      </c>
      <c r="F103" s="15" t="b">
        <v>1</v>
      </c>
      <c r="G103" s="10" t="str">
        <f>ランキング1000曲!E286</f>
        <v>3級</v>
      </c>
      <c r="H103" s="11" t="str">
        <f>ランキング1000曲!G286</f>
        <v>https://www.uta-net.com/song/10397/</v>
      </c>
    </row>
    <row r="104" spans="1:8" ht="30" customHeight="1">
      <c r="A104" s="7">
        <v>281</v>
      </c>
      <c r="B104" s="9" t="s">
        <v>170</v>
      </c>
      <c r="C104" s="9" t="s">
        <v>165</v>
      </c>
      <c r="D104" s="8">
        <v>37188</v>
      </c>
      <c r="E104" s="2" t="s">
        <v>13</v>
      </c>
      <c r="F104" s="15" t="b">
        <v>1</v>
      </c>
      <c r="G104" s="10" t="str">
        <f>ランキング1000曲!E287</f>
        <v>3級</v>
      </c>
      <c r="H104" s="11" t="str">
        <f>ランキング1000曲!G287</f>
        <v>https://www.uta-net.com/song/14722/</v>
      </c>
    </row>
    <row r="105" spans="1:8" ht="30" customHeight="1">
      <c r="A105" s="7">
        <v>282</v>
      </c>
      <c r="B105" s="9" t="s">
        <v>171</v>
      </c>
      <c r="C105" s="9" t="s">
        <v>172</v>
      </c>
      <c r="D105" s="8">
        <v>37090</v>
      </c>
      <c r="E105" s="2" t="s">
        <v>13</v>
      </c>
      <c r="F105" s="15" t="b">
        <v>0</v>
      </c>
      <c r="G105" s="10" t="str">
        <f>ランキング1000曲!E288</f>
        <v>3級</v>
      </c>
      <c r="H105" s="11" t="str">
        <f>ランキング1000曲!G288</f>
        <v>https://www.uta-net.com/song/14442/</v>
      </c>
    </row>
    <row r="106" spans="1:8" ht="30" customHeight="1">
      <c r="A106" s="7">
        <v>283</v>
      </c>
      <c r="B106" s="9" t="s">
        <v>173</v>
      </c>
      <c r="C106" s="9" t="s">
        <v>174</v>
      </c>
      <c r="D106" s="8">
        <v>38658</v>
      </c>
      <c r="E106" s="2" t="s">
        <v>13</v>
      </c>
      <c r="F106" s="15" t="b">
        <v>1</v>
      </c>
      <c r="G106" s="10" t="str">
        <f>ランキング1000曲!E289</f>
        <v>3級</v>
      </c>
      <c r="H106" s="11" t="str">
        <f>ランキング1000曲!G289</f>
        <v>https://www.uta-net.com/song/35459/</v>
      </c>
    </row>
    <row r="107" spans="1:8" ht="30" customHeight="1">
      <c r="A107" s="7">
        <v>284</v>
      </c>
      <c r="B107" s="9" t="s">
        <v>175</v>
      </c>
      <c r="C107" s="9" t="s">
        <v>33</v>
      </c>
      <c r="D107" s="8">
        <v>39785</v>
      </c>
      <c r="E107" s="2" t="s">
        <v>13</v>
      </c>
      <c r="F107" s="15" t="b">
        <v>1</v>
      </c>
      <c r="G107" s="10" t="str">
        <f>ランキング1000曲!E290</f>
        <v>3級</v>
      </c>
      <c r="H107" s="11" t="str">
        <f>ランキング1000曲!G290</f>
        <v>https://www.uta-net.com/song/72597/</v>
      </c>
    </row>
    <row r="108" spans="1:8" ht="30" customHeight="1">
      <c r="A108" s="7">
        <v>288</v>
      </c>
      <c r="B108" s="9" t="s">
        <v>176</v>
      </c>
      <c r="C108" s="9" t="s">
        <v>72</v>
      </c>
      <c r="D108" s="8">
        <v>39162</v>
      </c>
      <c r="E108" s="2" t="s">
        <v>13</v>
      </c>
      <c r="F108" s="15" t="b">
        <v>1</v>
      </c>
      <c r="G108" s="10" t="str">
        <f>ランキング1000曲!E294</f>
        <v>3級</v>
      </c>
      <c r="H108" s="11" t="str">
        <f>ランキング1000曲!G294</f>
        <v>https://www.uta-net.com/song/51215/</v>
      </c>
    </row>
    <row r="109" spans="1:8" ht="30" customHeight="1">
      <c r="A109" s="7">
        <v>294</v>
      </c>
      <c r="B109" s="9" t="s">
        <v>177</v>
      </c>
      <c r="C109" s="9" t="s">
        <v>161</v>
      </c>
      <c r="D109" s="8">
        <v>36313</v>
      </c>
      <c r="E109" s="2" t="s">
        <v>13</v>
      </c>
      <c r="F109" s="15" t="b">
        <v>0</v>
      </c>
      <c r="G109" s="10" t="str">
        <f>ランキング1000曲!E300</f>
        <v>3級</v>
      </c>
      <c r="H109" s="11" t="str">
        <f>ランキング1000曲!G300</f>
        <v>https://www.uta-net.com/song/859/</v>
      </c>
    </row>
    <row r="110" spans="1:8" ht="30" customHeight="1">
      <c r="A110" s="7">
        <v>296</v>
      </c>
      <c r="B110" s="9" t="s">
        <v>178</v>
      </c>
      <c r="C110" s="9" t="s">
        <v>56</v>
      </c>
      <c r="D110" s="8">
        <v>38791</v>
      </c>
      <c r="E110" s="2" t="s">
        <v>13</v>
      </c>
      <c r="F110" s="15" t="b">
        <v>0</v>
      </c>
      <c r="G110" s="10" t="str">
        <f>ランキング1000曲!E302</f>
        <v>3級</v>
      </c>
      <c r="H110" s="11" t="str">
        <f>ランキング1000曲!G302</f>
        <v>https://www.uta-net.com/song/17273/</v>
      </c>
    </row>
    <row r="111" spans="1:8" ht="30" customHeight="1">
      <c r="A111" s="7">
        <v>297</v>
      </c>
      <c r="B111" s="9" t="s">
        <v>179</v>
      </c>
      <c r="C111" s="9" t="s">
        <v>15</v>
      </c>
      <c r="D111" s="8">
        <v>38777</v>
      </c>
      <c r="E111" s="2" t="s">
        <v>13</v>
      </c>
      <c r="F111" s="15" t="b">
        <v>1</v>
      </c>
      <c r="G111" s="10" t="str">
        <f>ランキング1000曲!E303</f>
        <v>3級</v>
      </c>
      <c r="H111" s="11" t="str">
        <f>ランキング1000曲!G303</f>
        <v>https://www.uta-net.com/song/37350/</v>
      </c>
    </row>
    <row r="112" spans="1:8" ht="30" customHeight="1">
      <c r="A112" s="7">
        <v>300</v>
      </c>
      <c r="B112" s="9" t="s">
        <v>180</v>
      </c>
      <c r="C112" s="9" t="s">
        <v>181</v>
      </c>
      <c r="D112" s="8">
        <v>34997</v>
      </c>
      <c r="E112" s="2" t="s">
        <v>13</v>
      </c>
      <c r="F112" s="15" t="b">
        <v>1</v>
      </c>
      <c r="G112" s="10" t="str">
        <f>ランキング1000曲!E306</f>
        <v>3級</v>
      </c>
      <c r="H112" s="11" t="str">
        <f>ランキング1000曲!G306</f>
        <v>https://www.uta-net.com/song/9307/</v>
      </c>
    </row>
    <row r="113" spans="1:8" ht="30" customHeight="1">
      <c r="A113" s="7">
        <v>301</v>
      </c>
      <c r="B113" s="9" t="s">
        <v>182</v>
      </c>
      <c r="C113" s="9" t="s">
        <v>183</v>
      </c>
      <c r="D113" s="8">
        <v>36642</v>
      </c>
      <c r="E113" s="2" t="s">
        <v>13</v>
      </c>
      <c r="F113" s="15" t="b">
        <v>0</v>
      </c>
      <c r="G113" s="10" t="str">
        <f>ランキング1000曲!E307</f>
        <v>2級</v>
      </c>
      <c r="H113" s="11" t="str">
        <f>ランキング1000曲!G307</f>
        <v>https://www.uta-net.com/song/5063/</v>
      </c>
    </row>
    <row r="114" spans="1:8" ht="30" customHeight="1">
      <c r="A114" s="7">
        <v>302</v>
      </c>
      <c r="B114" s="9" t="s">
        <v>145</v>
      </c>
      <c r="C114" s="9" t="s">
        <v>184</v>
      </c>
      <c r="D114" s="8">
        <v>39337</v>
      </c>
      <c r="E114" s="2" t="s">
        <v>13</v>
      </c>
      <c r="F114" s="15" t="b">
        <v>1</v>
      </c>
      <c r="G114" s="10" t="str">
        <f>ランキング1000曲!E308</f>
        <v>2級</v>
      </c>
      <c r="H114" s="11" t="str">
        <f>ランキング1000曲!G308</f>
        <v>https://www.uta-net.com/song/56245/</v>
      </c>
    </row>
    <row r="115" spans="1:8" ht="30" customHeight="1">
      <c r="A115" s="7">
        <v>305</v>
      </c>
      <c r="B115" s="9" t="s">
        <v>185</v>
      </c>
      <c r="C115" s="9" t="s">
        <v>19</v>
      </c>
      <c r="D115" s="8">
        <v>35100</v>
      </c>
      <c r="E115" s="2" t="s">
        <v>13</v>
      </c>
      <c r="F115" s="15" t="b">
        <v>1</v>
      </c>
      <c r="G115" s="10" t="str">
        <f>ランキング1000曲!E311</f>
        <v>2級</v>
      </c>
      <c r="H115" s="11" t="str">
        <f>ランキング1000曲!G311</f>
        <v>https://www.uta-net.com/song/8944/</v>
      </c>
    </row>
    <row r="116" spans="1:8" ht="30" customHeight="1">
      <c r="A116" s="7">
        <v>306</v>
      </c>
      <c r="B116" s="9" t="s">
        <v>186</v>
      </c>
      <c r="C116" s="9" t="s">
        <v>187</v>
      </c>
      <c r="D116" s="8">
        <v>33749</v>
      </c>
      <c r="E116" s="2" t="s">
        <v>13</v>
      </c>
      <c r="F116" s="15" t="b">
        <v>1</v>
      </c>
      <c r="G116" s="10" t="str">
        <f>ランキング1000曲!E312</f>
        <v>2級</v>
      </c>
      <c r="H116" s="11" t="str">
        <f>ランキング1000曲!G312</f>
        <v>https://www.uta-net.com/song/4523/</v>
      </c>
    </row>
    <row r="117" spans="1:8" ht="30" customHeight="1">
      <c r="A117" s="7">
        <v>309</v>
      </c>
      <c r="B117" s="9" t="s">
        <v>188</v>
      </c>
      <c r="C117" s="9" t="s">
        <v>189</v>
      </c>
      <c r="D117" s="8">
        <v>38749</v>
      </c>
      <c r="E117" s="2" t="s">
        <v>13</v>
      </c>
      <c r="F117" s="15" t="b">
        <v>0</v>
      </c>
      <c r="G117" s="10" t="str">
        <f>ランキング1000曲!E315</f>
        <v>2級</v>
      </c>
      <c r="H117" s="11" t="str">
        <f>ランキング1000曲!G315</f>
        <v>https://www.uta-net.com/song/36937/</v>
      </c>
    </row>
    <row r="118" spans="1:8" ht="30" customHeight="1">
      <c r="A118" s="7">
        <v>312</v>
      </c>
      <c r="B118" s="9" t="s">
        <v>190</v>
      </c>
      <c r="C118" s="9" t="s">
        <v>148</v>
      </c>
      <c r="D118" s="8">
        <v>39393</v>
      </c>
      <c r="E118" s="2" t="s">
        <v>13</v>
      </c>
      <c r="F118" s="15" t="b">
        <v>0</v>
      </c>
      <c r="G118" s="10" t="str">
        <f>ランキング1000曲!E318</f>
        <v>2級</v>
      </c>
      <c r="H118" s="11" t="str">
        <f>ランキング1000曲!G318</f>
        <v>https://www.uta-net.com/song/35929/</v>
      </c>
    </row>
    <row r="119" spans="1:8" ht="30" customHeight="1">
      <c r="A119" s="7">
        <v>313</v>
      </c>
      <c r="B119" s="9" t="s">
        <v>191</v>
      </c>
      <c r="C119" s="9" t="s">
        <v>192</v>
      </c>
      <c r="D119" s="8">
        <v>34493</v>
      </c>
      <c r="E119" s="2" t="s">
        <v>13</v>
      </c>
      <c r="F119" s="15" t="b">
        <v>1</v>
      </c>
      <c r="G119" s="10" t="str">
        <f>ランキング1000曲!E319</f>
        <v>2級</v>
      </c>
      <c r="H119" s="11" t="str">
        <f>ランキング1000曲!G319</f>
        <v>https://www.uta-net.com/song/7634/</v>
      </c>
    </row>
    <row r="120" spans="1:8" ht="30" customHeight="1">
      <c r="A120" s="7">
        <v>314</v>
      </c>
      <c r="B120" s="9" t="s">
        <v>193</v>
      </c>
      <c r="C120" s="9" t="s">
        <v>65</v>
      </c>
      <c r="D120" s="8">
        <v>39470</v>
      </c>
      <c r="E120" s="2" t="s">
        <v>13</v>
      </c>
      <c r="F120" s="15" t="b">
        <v>0</v>
      </c>
      <c r="G120" s="10" t="str">
        <f>ランキング1000曲!E320</f>
        <v>2級</v>
      </c>
      <c r="H120" s="11" t="str">
        <f>ランキング1000曲!G320</f>
        <v>https://www.uta-net.com/song/117620/</v>
      </c>
    </row>
    <row r="121" spans="1:8" ht="30" customHeight="1">
      <c r="A121" s="7">
        <v>315</v>
      </c>
      <c r="B121" s="9" t="s">
        <v>194</v>
      </c>
      <c r="C121" s="9" t="s">
        <v>195</v>
      </c>
      <c r="D121" s="8">
        <v>38497</v>
      </c>
      <c r="E121" s="2" t="s">
        <v>13</v>
      </c>
      <c r="F121" s="15" t="b">
        <v>0</v>
      </c>
      <c r="G121" s="10" t="str">
        <f>ランキング1000曲!E321</f>
        <v>2級</v>
      </c>
      <c r="H121" s="11" t="str">
        <f>ランキング1000曲!G321</f>
        <v>https://www.uta-net.com/song/26140/</v>
      </c>
    </row>
    <row r="122" spans="1:8" ht="30" customHeight="1">
      <c r="A122" s="7">
        <v>316</v>
      </c>
      <c r="B122" s="9" t="s">
        <v>196</v>
      </c>
      <c r="C122" s="9" t="s">
        <v>29</v>
      </c>
      <c r="D122" s="8">
        <v>34432</v>
      </c>
      <c r="E122" s="2" t="s">
        <v>13</v>
      </c>
      <c r="F122" s="15" t="b">
        <v>0</v>
      </c>
      <c r="G122" s="10" t="str">
        <f>ランキング1000曲!E322</f>
        <v>2級</v>
      </c>
      <c r="H122" s="11" t="str">
        <f>ランキング1000曲!G322</f>
        <v>https://www.uta-net.com/song/13915/</v>
      </c>
    </row>
    <row r="123" spans="1:8" ht="30" customHeight="1">
      <c r="A123" s="7">
        <v>317</v>
      </c>
      <c r="B123" s="9" t="s">
        <v>197</v>
      </c>
      <c r="C123" s="9" t="s">
        <v>131</v>
      </c>
      <c r="D123" s="8">
        <v>39043</v>
      </c>
      <c r="E123" s="2" t="s">
        <v>13</v>
      </c>
      <c r="F123" s="15" t="b">
        <v>0</v>
      </c>
      <c r="G123" s="10" t="str">
        <f>ランキング1000曲!E323</f>
        <v>2級</v>
      </c>
      <c r="H123" s="11" t="str">
        <f>ランキング1000曲!G323</f>
        <v>https://www.uta-net.com/song/46942/</v>
      </c>
    </row>
    <row r="124" spans="1:8" ht="30" customHeight="1">
      <c r="A124" s="7">
        <v>324</v>
      </c>
      <c r="B124" s="9" t="s">
        <v>198</v>
      </c>
      <c r="C124" s="9" t="s">
        <v>199</v>
      </c>
      <c r="D124" s="8">
        <v>33208</v>
      </c>
      <c r="E124" s="2" t="s">
        <v>13</v>
      </c>
      <c r="F124" s="15" t="b">
        <v>1</v>
      </c>
      <c r="G124" s="10" t="str">
        <f>ランキング1000曲!E330</f>
        <v>2級</v>
      </c>
      <c r="H124" s="11" t="str">
        <f>ランキング1000曲!G330</f>
        <v>https://www.uta-net.com/song/1630/</v>
      </c>
    </row>
    <row r="125" spans="1:8" ht="30" customHeight="1">
      <c r="A125" s="7">
        <v>325</v>
      </c>
      <c r="B125" s="9" t="s">
        <v>200</v>
      </c>
      <c r="C125" s="9" t="s">
        <v>54</v>
      </c>
      <c r="D125" s="8">
        <v>40002</v>
      </c>
      <c r="E125" s="2" t="s">
        <v>13</v>
      </c>
      <c r="F125" s="15" t="b">
        <v>1</v>
      </c>
      <c r="G125" s="10" t="str">
        <f>ランキング1000曲!E331</f>
        <v>2級</v>
      </c>
      <c r="H125" s="11" t="str">
        <f>ランキング1000曲!G331</f>
        <v>https://www.uta-net.com/song/81520/</v>
      </c>
    </row>
    <row r="126" spans="1:8" ht="30" customHeight="1">
      <c r="A126" s="7">
        <v>327</v>
      </c>
      <c r="B126" s="9" t="s">
        <v>201</v>
      </c>
      <c r="C126" s="9" t="s">
        <v>29</v>
      </c>
      <c r="D126" s="8">
        <v>38203</v>
      </c>
      <c r="E126" s="2" t="s">
        <v>13</v>
      </c>
      <c r="F126" s="15" t="b">
        <v>0</v>
      </c>
      <c r="G126" s="10" t="str">
        <f>ランキング1000曲!E333</f>
        <v>2級</v>
      </c>
      <c r="H126" s="11" t="str">
        <f>ランキング1000曲!G333</f>
        <v>https://www.uta-net.com/song/8576/</v>
      </c>
    </row>
    <row r="127" spans="1:8" ht="30" customHeight="1">
      <c r="A127" s="7">
        <v>329</v>
      </c>
      <c r="B127" s="9" t="s">
        <v>202</v>
      </c>
      <c r="C127" s="9" t="s">
        <v>203</v>
      </c>
      <c r="D127" s="8">
        <v>39946</v>
      </c>
      <c r="E127" s="2" t="s">
        <v>13</v>
      </c>
      <c r="F127" s="15" t="b">
        <v>0</v>
      </c>
      <c r="G127" s="10" t="str">
        <f>ランキング1000曲!E335</f>
        <v>2級</v>
      </c>
      <c r="H127" s="11" t="str">
        <f>ランキング1000曲!G335</f>
        <v>https://www.uta-net.com/song/79345/</v>
      </c>
    </row>
    <row r="128" spans="1:8" ht="30" customHeight="1">
      <c r="A128" s="7">
        <v>330</v>
      </c>
      <c r="B128" s="9" t="s">
        <v>204</v>
      </c>
      <c r="C128" s="9" t="s">
        <v>47</v>
      </c>
      <c r="D128" s="8">
        <v>39057</v>
      </c>
      <c r="E128" s="2" t="s">
        <v>13</v>
      </c>
      <c r="F128" s="15" t="b">
        <v>1</v>
      </c>
      <c r="G128" s="10" t="str">
        <f>ランキング1000曲!E336</f>
        <v>2級</v>
      </c>
      <c r="H128" s="11" t="str">
        <f>ランキング1000曲!G336</f>
        <v>https://www.uta-net.com/song/49382/</v>
      </c>
    </row>
    <row r="129" spans="1:8" ht="30" customHeight="1">
      <c r="A129" s="7">
        <v>331</v>
      </c>
      <c r="B129" s="9" t="s">
        <v>205</v>
      </c>
      <c r="C129" s="9" t="s">
        <v>29</v>
      </c>
      <c r="D129" s="8">
        <v>33508</v>
      </c>
      <c r="E129" s="2" t="s">
        <v>13</v>
      </c>
      <c r="F129" s="15" t="b">
        <v>0</v>
      </c>
      <c r="G129" s="10" t="str">
        <f>ランキング1000曲!E337</f>
        <v>2級</v>
      </c>
      <c r="H129" s="11" t="str">
        <f>ランキング1000曲!G337</f>
        <v>https://www.uta-net.com/song/13971/</v>
      </c>
    </row>
    <row r="130" spans="1:8" ht="30" customHeight="1">
      <c r="A130" s="7">
        <v>333</v>
      </c>
      <c r="B130" s="9" t="s">
        <v>206</v>
      </c>
      <c r="C130" s="9" t="s">
        <v>153</v>
      </c>
      <c r="D130" s="8">
        <v>35942</v>
      </c>
      <c r="E130" s="2" t="s">
        <v>13</v>
      </c>
      <c r="F130" s="15" t="b">
        <v>0</v>
      </c>
      <c r="G130" s="10" t="str">
        <f>ランキング1000曲!E339</f>
        <v>2級</v>
      </c>
      <c r="H130" s="11" t="str">
        <f>ランキング1000曲!G339</f>
        <v>https://www.uta-net.com/song/12119/</v>
      </c>
    </row>
    <row r="131" spans="1:8" ht="30" customHeight="1">
      <c r="A131" s="7">
        <v>335</v>
      </c>
      <c r="B131" s="9" t="s">
        <v>207</v>
      </c>
      <c r="C131" s="9" t="s">
        <v>21</v>
      </c>
      <c r="D131" s="8">
        <v>36999</v>
      </c>
      <c r="E131" s="2" t="s">
        <v>13</v>
      </c>
      <c r="F131" s="15" t="b">
        <v>1</v>
      </c>
      <c r="G131" s="10" t="str">
        <f>ランキング1000曲!E341</f>
        <v>2級</v>
      </c>
      <c r="H131" s="11" t="str">
        <f>ランキング1000曲!G341</f>
        <v>https://www.uta-net.com/song/13307/</v>
      </c>
    </row>
    <row r="132" spans="1:8" ht="30" customHeight="1">
      <c r="A132" s="7">
        <v>336</v>
      </c>
      <c r="B132" s="9" t="s">
        <v>208</v>
      </c>
      <c r="C132" s="9" t="s">
        <v>209</v>
      </c>
      <c r="D132" s="8">
        <v>39148</v>
      </c>
      <c r="E132" s="2" t="s">
        <v>13</v>
      </c>
      <c r="F132" s="15" t="b">
        <v>1</v>
      </c>
      <c r="G132" s="10" t="str">
        <f>ランキング1000曲!E342</f>
        <v>2級</v>
      </c>
      <c r="H132" s="11" t="str">
        <f>ランキング1000曲!G342</f>
        <v>https://www.uta-net.com/song/51611/</v>
      </c>
    </row>
    <row r="133" spans="1:8" ht="30" customHeight="1">
      <c r="A133" s="7">
        <v>338</v>
      </c>
      <c r="B133" s="9" t="s">
        <v>112</v>
      </c>
      <c r="C133" s="9" t="s">
        <v>45</v>
      </c>
      <c r="D133" s="8">
        <v>39876</v>
      </c>
      <c r="E133" s="2" t="s">
        <v>13</v>
      </c>
      <c r="F133" s="15" t="b">
        <v>1</v>
      </c>
      <c r="G133" s="10" t="str">
        <f>ランキング1000曲!E344</f>
        <v>2級</v>
      </c>
      <c r="H133" s="11" t="str">
        <f>ランキング1000曲!G344</f>
        <v>https://www.uta-net.com/song/76760/</v>
      </c>
    </row>
    <row r="134" spans="1:8" ht="30" customHeight="1">
      <c r="A134" s="7">
        <v>339</v>
      </c>
      <c r="B134" s="9" t="s">
        <v>210</v>
      </c>
      <c r="C134" s="9" t="s">
        <v>45</v>
      </c>
      <c r="D134" s="8">
        <v>39680</v>
      </c>
      <c r="E134" s="2" t="s">
        <v>13</v>
      </c>
      <c r="F134" s="15" t="b">
        <v>0</v>
      </c>
      <c r="G134" s="10" t="str">
        <f>ランキング1000曲!E345</f>
        <v>2級</v>
      </c>
      <c r="H134" s="11" t="str">
        <f>ランキング1000曲!G345</f>
        <v>https://www.uta-net.com/song/69920/</v>
      </c>
    </row>
    <row r="135" spans="1:8" ht="30" customHeight="1">
      <c r="A135" s="7">
        <v>341</v>
      </c>
      <c r="B135" s="9" t="s">
        <v>211</v>
      </c>
      <c r="C135" s="9" t="s">
        <v>119</v>
      </c>
      <c r="D135" s="8">
        <v>39764</v>
      </c>
      <c r="E135" s="2" t="s">
        <v>13</v>
      </c>
      <c r="F135" s="15" t="b">
        <v>1</v>
      </c>
      <c r="G135" s="10" t="str">
        <f>ランキング1000曲!E347</f>
        <v>2級</v>
      </c>
      <c r="H135" s="11" t="str">
        <f>ランキング1000曲!G347</f>
        <v>https://www.uta-net.com/song/72400/</v>
      </c>
    </row>
    <row r="136" spans="1:8" ht="30" customHeight="1">
      <c r="A136" s="7">
        <v>345</v>
      </c>
      <c r="B136" s="9" t="s">
        <v>212</v>
      </c>
      <c r="C136" s="9" t="s">
        <v>19</v>
      </c>
      <c r="D136" s="8">
        <v>39659</v>
      </c>
      <c r="E136" s="2" t="s">
        <v>13</v>
      </c>
      <c r="F136" s="15" t="b">
        <v>1</v>
      </c>
      <c r="G136" s="10" t="str">
        <f>ランキング1000曲!E351</f>
        <v>2級</v>
      </c>
      <c r="H136" s="11" t="str">
        <f>ランキング1000曲!G351</f>
        <v>https://www.uta-net.com/song/69262/</v>
      </c>
    </row>
    <row r="137" spans="1:8" ht="30" customHeight="1">
      <c r="A137" s="7">
        <v>346</v>
      </c>
      <c r="B137" s="9" t="s">
        <v>213</v>
      </c>
      <c r="C137" s="9" t="s">
        <v>214</v>
      </c>
      <c r="D137" s="8">
        <v>32852</v>
      </c>
      <c r="E137" s="2" t="s">
        <v>13</v>
      </c>
      <c r="F137" s="15" t="b">
        <v>1</v>
      </c>
      <c r="G137" s="10" t="str">
        <f>ランキング1000曲!E352</f>
        <v>2級</v>
      </c>
      <c r="H137" s="11" t="str">
        <f>ランキング1000曲!G352</f>
        <v>https://www.uta-net.com/song/31/</v>
      </c>
    </row>
    <row r="138" spans="1:8" ht="30" customHeight="1">
      <c r="A138" s="7">
        <v>347</v>
      </c>
      <c r="B138" s="9" t="s">
        <v>215</v>
      </c>
      <c r="C138" s="9" t="s">
        <v>216</v>
      </c>
      <c r="D138" s="8">
        <v>40002</v>
      </c>
      <c r="E138" s="2" t="s">
        <v>13</v>
      </c>
      <c r="F138" s="15" t="b">
        <v>0</v>
      </c>
      <c r="G138" s="10" t="str">
        <f>ランキング1000曲!E353</f>
        <v>2級</v>
      </c>
      <c r="H138" s="11" t="str">
        <f>ランキング1000曲!G353</f>
        <v>https://www.uta-net.com/song/81090/</v>
      </c>
    </row>
    <row r="139" spans="1:8" ht="30" customHeight="1">
      <c r="A139" s="7">
        <v>349</v>
      </c>
      <c r="B139" s="9" t="s">
        <v>217</v>
      </c>
      <c r="C139" s="9" t="s">
        <v>218</v>
      </c>
      <c r="D139" s="8">
        <v>33198</v>
      </c>
      <c r="E139" s="2" t="s">
        <v>13</v>
      </c>
      <c r="F139" s="15" t="b">
        <v>1</v>
      </c>
      <c r="G139" s="10" t="str">
        <f>ランキング1000曲!E355</f>
        <v>2級</v>
      </c>
      <c r="H139" s="11" t="str">
        <f>ランキング1000曲!G355</f>
        <v>https://www.uta-net.com/song/2978/</v>
      </c>
    </row>
    <row r="140" spans="1:8" ht="30" customHeight="1">
      <c r="A140" s="7">
        <v>350</v>
      </c>
      <c r="B140" s="9" t="s">
        <v>219</v>
      </c>
      <c r="C140" s="9" t="s">
        <v>220</v>
      </c>
      <c r="D140" s="8">
        <v>38371</v>
      </c>
      <c r="E140" s="2" t="s">
        <v>13</v>
      </c>
      <c r="F140" s="15" t="b">
        <v>0</v>
      </c>
      <c r="G140" s="10" t="str">
        <f>ランキング1000曲!E356</f>
        <v>2級</v>
      </c>
      <c r="H140" s="11" t="str">
        <f>ランキング1000曲!G356</f>
        <v>https://www.uta-net.com/song/22867/</v>
      </c>
    </row>
    <row r="141" spans="1:8" ht="30" customHeight="1">
      <c r="A141" s="7">
        <v>351</v>
      </c>
      <c r="B141" s="9" t="s">
        <v>221</v>
      </c>
      <c r="C141" s="9" t="s">
        <v>222</v>
      </c>
      <c r="D141" s="8">
        <v>38798</v>
      </c>
      <c r="E141" s="2" t="s">
        <v>13</v>
      </c>
      <c r="F141" s="15" t="b">
        <v>1</v>
      </c>
      <c r="G141" s="10" t="str">
        <f>ランキング1000曲!E357</f>
        <v>2級</v>
      </c>
      <c r="H141" s="11" t="str">
        <f>ランキング1000曲!G357</f>
        <v>https://www.uta-net.com/song/38080/</v>
      </c>
    </row>
    <row r="142" spans="1:8" ht="30" customHeight="1">
      <c r="A142" s="7">
        <v>352</v>
      </c>
      <c r="B142" s="9" t="s">
        <v>223</v>
      </c>
      <c r="C142" s="9" t="s">
        <v>27</v>
      </c>
      <c r="D142" s="8">
        <v>38196</v>
      </c>
      <c r="E142" s="2" t="s">
        <v>13</v>
      </c>
      <c r="F142" s="15" t="b">
        <v>0</v>
      </c>
      <c r="G142" s="10" t="str">
        <f>ランキング1000曲!E358</f>
        <v>2級</v>
      </c>
      <c r="H142" s="11" t="str">
        <f>ランキング1000曲!G358</f>
        <v>https://www.uta-net.com/song/17904/</v>
      </c>
    </row>
    <row r="143" spans="1:8" ht="30" customHeight="1">
      <c r="A143" s="7">
        <v>354</v>
      </c>
      <c r="B143" s="9" t="s">
        <v>224</v>
      </c>
      <c r="C143" s="9" t="s">
        <v>21</v>
      </c>
      <c r="D143" s="8">
        <v>36726</v>
      </c>
      <c r="E143" s="2" t="s">
        <v>13</v>
      </c>
      <c r="F143" s="15" t="b">
        <v>1</v>
      </c>
      <c r="G143" s="10" t="str">
        <f>ランキング1000曲!E360</f>
        <v>2級</v>
      </c>
      <c r="H143" s="11" t="str">
        <f>ランキング1000曲!G360</f>
        <v>https://www.uta-net.com/song/12546/</v>
      </c>
    </row>
    <row r="144" spans="1:8" ht="30" customHeight="1">
      <c r="A144" s="7">
        <v>357</v>
      </c>
      <c r="B144" s="9" t="s">
        <v>225</v>
      </c>
      <c r="C144" s="9" t="s">
        <v>29</v>
      </c>
      <c r="D144" s="8">
        <v>38770</v>
      </c>
      <c r="E144" s="2" t="s">
        <v>13</v>
      </c>
      <c r="F144" s="15" t="b">
        <v>0</v>
      </c>
      <c r="G144" s="10" t="str">
        <f>ランキング1000曲!E363</f>
        <v>2級</v>
      </c>
      <c r="H144" s="11" t="str">
        <f>ランキング1000曲!G363</f>
        <v>https://www.uta-net.com/song/46472/</v>
      </c>
    </row>
    <row r="145" spans="1:8" ht="30" customHeight="1">
      <c r="A145" s="7">
        <v>358</v>
      </c>
      <c r="B145" s="9" t="s">
        <v>226</v>
      </c>
      <c r="C145" s="9" t="s">
        <v>227</v>
      </c>
      <c r="D145" s="8">
        <v>33373</v>
      </c>
      <c r="E145" s="2" t="s">
        <v>13</v>
      </c>
      <c r="F145" s="15" t="b">
        <v>0</v>
      </c>
      <c r="G145" s="10" t="str">
        <f>ランキング1000曲!E364</f>
        <v>2級</v>
      </c>
      <c r="H145" s="11" t="str">
        <f>ランキング1000曲!G364</f>
        <v>https://www.uta-net.com/song/146/</v>
      </c>
    </row>
    <row r="146" spans="1:8" ht="30" customHeight="1">
      <c r="A146" s="7">
        <v>360</v>
      </c>
      <c r="B146" s="9" t="s">
        <v>228</v>
      </c>
      <c r="C146" s="9" t="s">
        <v>229</v>
      </c>
      <c r="D146" s="8">
        <v>38875</v>
      </c>
      <c r="E146" s="2" t="s">
        <v>13</v>
      </c>
      <c r="F146" s="15" t="b">
        <v>0</v>
      </c>
      <c r="G146" s="10" t="str">
        <f>ランキング1000曲!E366</f>
        <v>2級</v>
      </c>
      <c r="H146" s="11" t="str">
        <f>ランキング1000曲!G366</f>
        <v>https://www.uta-net.com/song/42454/</v>
      </c>
    </row>
    <row r="147" spans="1:8" ht="30" customHeight="1">
      <c r="A147" s="7">
        <v>362</v>
      </c>
      <c r="B147" s="9" t="s">
        <v>230</v>
      </c>
      <c r="C147" s="9" t="s">
        <v>86</v>
      </c>
      <c r="D147" s="8">
        <v>36376</v>
      </c>
      <c r="E147" s="2" t="s">
        <v>13</v>
      </c>
      <c r="F147" s="15" t="b">
        <v>1</v>
      </c>
      <c r="G147" s="10" t="str">
        <f>ランキング1000曲!E368</f>
        <v>2級</v>
      </c>
      <c r="H147" s="11" t="str">
        <f>ランキング1000曲!G368</f>
        <v>https://www.uta-net.com/song/12076/</v>
      </c>
    </row>
    <row r="148" spans="1:8" ht="30" customHeight="1">
      <c r="A148" s="7">
        <v>363</v>
      </c>
      <c r="B148" s="9" t="s">
        <v>231</v>
      </c>
      <c r="C148" s="9" t="s">
        <v>45</v>
      </c>
      <c r="D148" s="8">
        <v>40044</v>
      </c>
      <c r="E148" s="2" t="s">
        <v>13</v>
      </c>
      <c r="F148" s="15" t="b">
        <v>0</v>
      </c>
      <c r="G148" s="10" t="str">
        <f>ランキング1000曲!E369</f>
        <v>2級</v>
      </c>
      <c r="H148" s="11" t="str">
        <f>ランキング1000曲!G369</f>
        <v>https://www.uta-net.com/song/83340/</v>
      </c>
    </row>
    <row r="149" spans="1:8" ht="30" customHeight="1">
      <c r="A149" s="7">
        <v>364</v>
      </c>
      <c r="B149" s="9" t="s">
        <v>232</v>
      </c>
      <c r="C149" s="9" t="s">
        <v>233</v>
      </c>
      <c r="D149" s="8">
        <v>34514</v>
      </c>
      <c r="E149" s="2" t="s">
        <v>13</v>
      </c>
      <c r="F149" s="15" t="b">
        <v>1</v>
      </c>
      <c r="G149" s="10" t="str">
        <f>ランキング1000曲!E370</f>
        <v>2級</v>
      </c>
      <c r="H149" s="11" t="str">
        <f>ランキング1000曲!G370</f>
        <v>https://www.uta-net.com/song/5808/</v>
      </c>
    </row>
    <row r="150" spans="1:8" ht="30" customHeight="1">
      <c r="A150" s="7">
        <v>368</v>
      </c>
      <c r="B150" s="9" t="s">
        <v>234</v>
      </c>
      <c r="C150" s="9" t="s">
        <v>47</v>
      </c>
      <c r="D150" s="8">
        <v>39883</v>
      </c>
      <c r="E150" s="2" t="s">
        <v>13</v>
      </c>
      <c r="F150" s="15" t="b">
        <v>0</v>
      </c>
      <c r="G150" s="10" t="str">
        <f>ランキング1000曲!E374</f>
        <v>2級</v>
      </c>
      <c r="H150" s="11" t="str">
        <f>ランキング1000曲!G374</f>
        <v>https://www.uta-net.com/song/76295/</v>
      </c>
    </row>
    <row r="151" spans="1:8" ht="30" customHeight="1">
      <c r="A151" s="7">
        <v>372</v>
      </c>
      <c r="B151" s="9" t="s">
        <v>235</v>
      </c>
      <c r="C151" s="9" t="s">
        <v>50</v>
      </c>
      <c r="D151" s="8">
        <v>39715</v>
      </c>
      <c r="E151" s="2" t="s">
        <v>13</v>
      </c>
      <c r="F151" s="15" t="b">
        <v>0</v>
      </c>
      <c r="G151" s="10" t="str">
        <f>ランキング1000曲!E378</f>
        <v>2級</v>
      </c>
      <c r="H151" s="11" t="str">
        <f>ランキング1000曲!G378</f>
        <v>https://www.uta-net.com/song/71028/</v>
      </c>
    </row>
    <row r="152" spans="1:8" ht="30" customHeight="1">
      <c r="A152" s="7">
        <v>374</v>
      </c>
      <c r="B152" s="9" t="s">
        <v>236</v>
      </c>
      <c r="C152" s="9" t="s">
        <v>237</v>
      </c>
      <c r="D152" s="8">
        <v>33131</v>
      </c>
      <c r="E152" s="2" t="s">
        <v>13</v>
      </c>
      <c r="F152" s="15" t="b">
        <v>0</v>
      </c>
      <c r="G152" s="10" t="str">
        <f>ランキング1000曲!E380</f>
        <v>2級</v>
      </c>
      <c r="H152" s="11" t="str">
        <f>ランキング1000曲!G380</f>
        <v>https://www.uta-net.com/song/728/</v>
      </c>
    </row>
    <row r="153" spans="1:8" ht="30" customHeight="1">
      <c r="A153" s="7">
        <v>375</v>
      </c>
      <c r="B153" s="9" t="s">
        <v>238</v>
      </c>
      <c r="C153" s="9" t="s">
        <v>239</v>
      </c>
      <c r="D153" s="8">
        <v>38084</v>
      </c>
      <c r="E153" s="2" t="s">
        <v>13</v>
      </c>
      <c r="F153" s="15" t="b">
        <v>1</v>
      </c>
      <c r="G153" s="10" t="str">
        <f>ランキング1000曲!E381</f>
        <v>2級</v>
      </c>
      <c r="H153" s="11" t="str">
        <f>ランキング1000曲!G381</f>
        <v>https://www.uta-net.com/song/19103/</v>
      </c>
    </row>
    <row r="154" spans="1:8" ht="30" customHeight="1">
      <c r="A154" s="7">
        <v>376</v>
      </c>
      <c r="B154" s="9" t="s">
        <v>240</v>
      </c>
      <c r="C154" s="9" t="s">
        <v>140</v>
      </c>
      <c r="D154" s="8">
        <v>37111</v>
      </c>
      <c r="E154" s="2" t="s">
        <v>13</v>
      </c>
      <c r="F154" s="15" t="b">
        <v>0</v>
      </c>
      <c r="G154" s="10" t="str">
        <f>ランキング1000曲!E382</f>
        <v>2級</v>
      </c>
      <c r="H154" s="11" t="str">
        <f>ランキング1000曲!G382</f>
        <v>https://www.uta-net.com/song/14760/</v>
      </c>
    </row>
    <row r="155" spans="1:8" ht="30" customHeight="1">
      <c r="A155" s="7">
        <v>377</v>
      </c>
      <c r="B155" s="9" t="s">
        <v>241</v>
      </c>
      <c r="C155" s="9" t="s">
        <v>242</v>
      </c>
      <c r="D155" s="8">
        <v>40037</v>
      </c>
      <c r="E155" s="2" t="s">
        <v>13</v>
      </c>
      <c r="F155" s="15" t="b">
        <v>1</v>
      </c>
      <c r="G155" s="10" t="str">
        <f>ランキング1000曲!E383</f>
        <v>2級</v>
      </c>
      <c r="H155" s="11" t="str">
        <f>ランキング1000曲!G383</f>
        <v>https://www.uta-net.com/song/82447/</v>
      </c>
    </row>
    <row r="156" spans="1:8" ht="30" customHeight="1">
      <c r="A156" s="7">
        <v>380</v>
      </c>
      <c r="B156" s="9" t="s">
        <v>243</v>
      </c>
      <c r="C156" s="9" t="s">
        <v>19</v>
      </c>
      <c r="D156" s="8">
        <v>34648</v>
      </c>
      <c r="E156" s="2" t="s">
        <v>13</v>
      </c>
      <c r="F156" s="15" t="b">
        <v>1</v>
      </c>
      <c r="G156" s="10" t="str">
        <f>ランキング1000曲!E386</f>
        <v>2級</v>
      </c>
      <c r="H156" s="11" t="str">
        <f>ランキング1000曲!G386</f>
        <v>https://www.uta-net.com/song/7680/</v>
      </c>
    </row>
    <row r="157" spans="1:8" ht="30" customHeight="1">
      <c r="A157" s="7">
        <v>383</v>
      </c>
      <c r="B157" s="9" t="s">
        <v>244</v>
      </c>
      <c r="C157" s="9" t="s">
        <v>56</v>
      </c>
      <c r="D157" s="8">
        <v>38791</v>
      </c>
      <c r="E157" s="2" t="s">
        <v>13</v>
      </c>
      <c r="F157" s="15" t="b">
        <v>0</v>
      </c>
      <c r="G157" s="10" t="str">
        <f>ランキング1000曲!E389</f>
        <v>2級</v>
      </c>
      <c r="H157" s="11" t="str">
        <f>ランキング1000曲!G389</f>
        <v>https://www.uta-net.com/song/19456/</v>
      </c>
    </row>
    <row r="158" spans="1:8" ht="30" customHeight="1">
      <c r="A158" s="7">
        <v>388</v>
      </c>
      <c r="B158" s="9" t="s">
        <v>245</v>
      </c>
      <c r="C158" s="9" t="s">
        <v>86</v>
      </c>
      <c r="D158" s="8">
        <v>38567</v>
      </c>
      <c r="E158" s="2" t="s">
        <v>13</v>
      </c>
      <c r="F158" s="15" t="b">
        <v>0</v>
      </c>
      <c r="G158" s="10" t="str">
        <f>ランキング1000曲!E394</f>
        <v>2級</v>
      </c>
      <c r="H158" s="11" t="str">
        <f>ランキング1000曲!G394</f>
        <v>https://www.uta-net.com/song/26708/</v>
      </c>
    </row>
    <row r="159" spans="1:8" ht="30" customHeight="1">
      <c r="A159" s="7">
        <v>390</v>
      </c>
      <c r="B159" s="9" t="s">
        <v>246</v>
      </c>
      <c r="C159" s="9" t="s">
        <v>247</v>
      </c>
      <c r="D159" s="8">
        <v>39036</v>
      </c>
      <c r="E159" s="2" t="s">
        <v>13</v>
      </c>
      <c r="F159" s="15" t="b">
        <v>0</v>
      </c>
      <c r="G159" s="10" t="str">
        <f>ランキング1000曲!E396</f>
        <v>2級</v>
      </c>
      <c r="H159" s="11" t="str">
        <f>ランキング1000曲!G396</f>
        <v>https://www.uta-net.com/song/46535/</v>
      </c>
    </row>
    <row r="160" spans="1:8" ht="30" customHeight="1">
      <c r="A160" s="7">
        <v>392</v>
      </c>
      <c r="B160" s="9" t="s">
        <v>248</v>
      </c>
      <c r="C160" s="9" t="s">
        <v>29</v>
      </c>
      <c r="D160" s="8">
        <v>38987</v>
      </c>
      <c r="E160" s="2" t="s">
        <v>13</v>
      </c>
      <c r="F160" s="15" t="b">
        <v>0</v>
      </c>
      <c r="G160" s="10" t="str">
        <f>ランキング1000曲!E398</f>
        <v>2級</v>
      </c>
      <c r="H160" s="11" t="str">
        <f>ランキング1000曲!G398</f>
        <v>https://www.uta-net.com/song/46452/</v>
      </c>
    </row>
    <row r="161" spans="1:8" ht="30" customHeight="1">
      <c r="A161" s="7">
        <v>395</v>
      </c>
      <c r="B161" s="9" t="s">
        <v>249</v>
      </c>
      <c r="C161" s="9" t="s">
        <v>250</v>
      </c>
      <c r="D161" s="8">
        <v>39267</v>
      </c>
      <c r="E161" s="2" t="s">
        <v>13</v>
      </c>
      <c r="F161" s="15" t="b">
        <v>0</v>
      </c>
      <c r="G161" s="10" t="str">
        <f>ランキング1000曲!E401</f>
        <v>2級</v>
      </c>
      <c r="H161" s="11" t="str">
        <f>ランキング1000曲!G401</f>
        <v>https://www.uta-net.com/song/55129/</v>
      </c>
    </row>
    <row r="162" spans="1:8" ht="30" customHeight="1">
      <c r="A162" s="7">
        <v>396</v>
      </c>
      <c r="B162" s="9" t="s">
        <v>251</v>
      </c>
      <c r="C162" s="9" t="s">
        <v>65</v>
      </c>
      <c r="D162" s="8">
        <v>38337</v>
      </c>
      <c r="E162" s="2" t="s">
        <v>13</v>
      </c>
      <c r="F162" s="15" t="b">
        <v>0</v>
      </c>
      <c r="G162" s="10" t="str">
        <f>ランキング1000曲!E402</f>
        <v>2級</v>
      </c>
      <c r="H162" s="11" t="str">
        <f>ランキング1000曲!G402</f>
        <v>https://www.uta-net.com/song/32407/</v>
      </c>
    </row>
    <row r="163" spans="1:8" ht="30" customHeight="1">
      <c r="A163" s="7">
        <v>397</v>
      </c>
      <c r="B163" s="9" t="s">
        <v>252</v>
      </c>
      <c r="C163" s="9" t="s">
        <v>253</v>
      </c>
      <c r="D163" s="8">
        <v>32971</v>
      </c>
      <c r="E163" s="2" t="s">
        <v>13</v>
      </c>
      <c r="F163" s="15" t="b">
        <v>1</v>
      </c>
      <c r="G163" s="10" t="str">
        <f>ランキング1000曲!E403</f>
        <v>2級</v>
      </c>
      <c r="H163" s="11" t="str">
        <f>ランキング1000曲!G403</f>
        <v>https://www.uta-net.com/song/4914/</v>
      </c>
    </row>
    <row r="164" spans="1:8" ht="30" customHeight="1">
      <c r="A164" s="7">
        <v>398</v>
      </c>
      <c r="B164" s="9" t="s">
        <v>254</v>
      </c>
      <c r="C164" s="9" t="s">
        <v>255</v>
      </c>
      <c r="D164" s="8">
        <v>39778</v>
      </c>
      <c r="E164" s="2" t="s">
        <v>13</v>
      </c>
      <c r="F164" s="15" t="b">
        <v>1</v>
      </c>
      <c r="G164" s="10" t="str">
        <f>ランキング1000曲!E404</f>
        <v>2級</v>
      </c>
      <c r="H164" s="11" t="str">
        <f>ランキング1000曲!G404</f>
        <v>https://www.uta-net.com/song/73311/</v>
      </c>
    </row>
    <row r="165" spans="1:8" ht="30" customHeight="1">
      <c r="A165" s="7">
        <v>407</v>
      </c>
      <c r="B165" s="9" t="s">
        <v>256</v>
      </c>
      <c r="C165" s="9" t="s">
        <v>257</v>
      </c>
      <c r="D165" s="8">
        <v>33147</v>
      </c>
      <c r="E165" s="2" t="s">
        <v>13</v>
      </c>
      <c r="F165" s="15" t="b">
        <v>0</v>
      </c>
      <c r="G165" s="10" t="str">
        <f>ランキング1000曲!E413</f>
        <v>1級</v>
      </c>
      <c r="H165" s="11" t="str">
        <f>ランキング1000曲!G413</f>
        <v>https://www.uta-net.com/song/7366/</v>
      </c>
    </row>
    <row r="166" spans="1:8" ht="42" customHeight="1">
      <c r="A166" s="7">
        <v>409</v>
      </c>
      <c r="B166" s="9" t="s">
        <v>258</v>
      </c>
      <c r="C166" s="9" t="s">
        <v>259</v>
      </c>
      <c r="D166" s="8">
        <v>35452</v>
      </c>
      <c r="E166" s="2" t="s">
        <v>13</v>
      </c>
      <c r="F166" s="15" t="b">
        <v>0</v>
      </c>
      <c r="G166" s="10" t="str">
        <f>ランキング1000曲!E415</f>
        <v>1級</v>
      </c>
      <c r="H166" s="11" t="str">
        <f>ランキング1000曲!G415</f>
        <v>https://www.uta-net.com/song/9778/</v>
      </c>
    </row>
    <row r="167" spans="1:8" ht="30" customHeight="1">
      <c r="A167" s="7">
        <v>411</v>
      </c>
      <c r="B167" s="9" t="s">
        <v>260</v>
      </c>
      <c r="C167" s="9" t="s">
        <v>261</v>
      </c>
      <c r="D167" s="8">
        <v>36684</v>
      </c>
      <c r="E167" s="2" t="s">
        <v>13</v>
      </c>
      <c r="F167" s="15" t="b">
        <v>1</v>
      </c>
      <c r="G167" s="10" t="str">
        <f>ランキング1000曲!E417</f>
        <v>1級</v>
      </c>
      <c r="H167" s="11" t="str">
        <f>ランキング1000曲!G417</f>
        <v>https://www.uta-net.com/song/12384/</v>
      </c>
    </row>
    <row r="168" spans="1:8" ht="30" customHeight="1">
      <c r="A168" s="7">
        <v>415</v>
      </c>
      <c r="B168" s="9" t="s">
        <v>262</v>
      </c>
      <c r="C168" s="9" t="s">
        <v>70</v>
      </c>
      <c r="D168" s="8">
        <v>38679</v>
      </c>
      <c r="E168" s="2" t="s">
        <v>13</v>
      </c>
      <c r="F168" s="15" t="b">
        <v>0</v>
      </c>
      <c r="G168" s="10" t="str">
        <f>ランキング1000曲!E421</f>
        <v>1級</v>
      </c>
      <c r="H168" s="11" t="str">
        <f>ランキング1000曲!G421</f>
        <v>https://www.uta-net.com/song/35725/</v>
      </c>
    </row>
    <row r="169" spans="1:8" ht="30" customHeight="1">
      <c r="A169" s="7">
        <v>416</v>
      </c>
      <c r="B169" s="9" t="s">
        <v>263</v>
      </c>
      <c r="C169" s="9" t="s">
        <v>264</v>
      </c>
      <c r="D169" s="8">
        <v>38616</v>
      </c>
      <c r="E169" s="2" t="s">
        <v>13</v>
      </c>
      <c r="F169" s="15" t="b">
        <v>1</v>
      </c>
      <c r="G169" s="10" t="str">
        <f>ランキング1000曲!E422</f>
        <v>1級</v>
      </c>
      <c r="H169" s="11" t="str">
        <f>ランキング1000曲!G422</f>
        <v>https://www.uta-net.com/song/29607/</v>
      </c>
    </row>
    <row r="170" spans="1:8" ht="30" customHeight="1">
      <c r="A170" s="7">
        <v>418</v>
      </c>
      <c r="B170" s="9" t="s">
        <v>265</v>
      </c>
      <c r="C170" s="9" t="s">
        <v>140</v>
      </c>
      <c r="D170" s="8">
        <v>35809</v>
      </c>
      <c r="E170" s="2" t="s">
        <v>13</v>
      </c>
      <c r="F170" s="15" t="b">
        <v>1</v>
      </c>
      <c r="G170" s="10" t="str">
        <f>ランキング1000曲!E424</f>
        <v>1級</v>
      </c>
      <c r="H170" s="11" t="str">
        <f>ランキング1000曲!G424</f>
        <v>https://www.uta-net.com/song/10065/</v>
      </c>
    </row>
    <row r="171" spans="1:8" ht="30" customHeight="1">
      <c r="A171" s="7">
        <v>424</v>
      </c>
      <c r="B171" s="9" t="s">
        <v>266</v>
      </c>
      <c r="C171" s="9" t="s">
        <v>47</v>
      </c>
      <c r="D171" s="8">
        <v>38763</v>
      </c>
      <c r="E171" s="2" t="s">
        <v>13</v>
      </c>
      <c r="F171" s="15" t="b">
        <v>0</v>
      </c>
      <c r="G171" s="10" t="str">
        <f>ランキング1000曲!E430</f>
        <v>1級</v>
      </c>
      <c r="H171" s="11" t="str">
        <f>ランキング1000曲!G430</f>
        <v>https://www.uta-net.com/song/37109/</v>
      </c>
    </row>
    <row r="172" spans="1:8" ht="30" customHeight="1">
      <c r="A172" s="7">
        <v>427</v>
      </c>
      <c r="B172" s="9" t="s">
        <v>267</v>
      </c>
      <c r="C172" s="9" t="s">
        <v>268</v>
      </c>
      <c r="D172" s="8">
        <v>38105</v>
      </c>
      <c r="E172" s="2" t="s">
        <v>13</v>
      </c>
      <c r="F172" s="15" t="b">
        <v>1</v>
      </c>
      <c r="G172" s="10" t="str">
        <f>ランキング1000曲!E433</f>
        <v>1級</v>
      </c>
      <c r="H172" s="11" t="str">
        <f>ランキング1000曲!G433</f>
        <v>https://www.uta-net.com/song/19042/</v>
      </c>
    </row>
    <row r="173" spans="1:8" ht="42" customHeight="1">
      <c r="A173" s="7">
        <v>428</v>
      </c>
      <c r="B173" s="9" t="s">
        <v>269</v>
      </c>
      <c r="C173" s="9" t="s">
        <v>270</v>
      </c>
      <c r="D173" s="8">
        <v>39470</v>
      </c>
      <c r="E173" s="2" t="s">
        <v>13</v>
      </c>
      <c r="F173" s="15" t="b">
        <v>0</v>
      </c>
      <c r="G173" s="10" t="str">
        <f>ランキング1000曲!E434</f>
        <v>1級</v>
      </c>
      <c r="H173" s="11" t="str">
        <f>ランキング1000曲!G434</f>
        <v>https://www.uta-net.com/song/60443/</v>
      </c>
    </row>
    <row r="174" spans="1:8" ht="30" customHeight="1">
      <c r="A174" s="7">
        <v>434</v>
      </c>
      <c r="B174" s="9" t="s">
        <v>271</v>
      </c>
      <c r="C174" s="9" t="s">
        <v>29</v>
      </c>
      <c r="D174" s="8">
        <v>39043</v>
      </c>
      <c r="E174" s="2" t="s">
        <v>13</v>
      </c>
      <c r="F174" s="15" t="b">
        <v>0</v>
      </c>
      <c r="G174" s="10" t="str">
        <f>ランキング1000曲!E440</f>
        <v>1級</v>
      </c>
      <c r="H174" s="11" t="str">
        <f>ランキング1000曲!G440</f>
        <v>https://www.uta-net.com/song/46396/</v>
      </c>
    </row>
    <row r="175" spans="1:8" ht="30" customHeight="1">
      <c r="A175" s="7">
        <v>435</v>
      </c>
      <c r="B175" s="9" t="s">
        <v>272</v>
      </c>
      <c r="C175" s="9" t="s">
        <v>273</v>
      </c>
      <c r="D175" s="8">
        <v>38161</v>
      </c>
      <c r="E175" s="2" t="s">
        <v>13</v>
      </c>
      <c r="F175" s="15" t="b">
        <v>0</v>
      </c>
      <c r="G175" s="10" t="str">
        <f>ランキング1000曲!E441</f>
        <v>1級</v>
      </c>
      <c r="H175" s="11" t="str">
        <f>ランキング1000曲!G441</f>
        <v>https://www.uta-net.com/song/7365/</v>
      </c>
    </row>
    <row r="176" spans="1:8" ht="30" customHeight="1">
      <c r="A176" s="7">
        <v>436</v>
      </c>
      <c r="B176" s="9" t="s">
        <v>274</v>
      </c>
      <c r="C176" s="9" t="s">
        <v>72</v>
      </c>
      <c r="D176" s="8">
        <v>38658</v>
      </c>
      <c r="E176" s="2" t="s">
        <v>13</v>
      </c>
      <c r="F176" s="15" t="b">
        <v>1</v>
      </c>
      <c r="G176" s="10" t="str">
        <f>ランキング1000曲!E442</f>
        <v>1級</v>
      </c>
      <c r="H176" s="11" t="str">
        <f>ランキング1000曲!G442</f>
        <v>https://www.uta-net.com/song/35368/</v>
      </c>
    </row>
    <row r="177" spans="1:8" ht="30" customHeight="1">
      <c r="A177" s="7">
        <v>438</v>
      </c>
      <c r="B177" s="9" t="s">
        <v>275</v>
      </c>
      <c r="C177" s="9" t="s">
        <v>276</v>
      </c>
      <c r="D177" s="8">
        <v>35321</v>
      </c>
      <c r="E177" s="2" t="s">
        <v>13</v>
      </c>
      <c r="F177" s="15" t="b">
        <v>0</v>
      </c>
      <c r="G177" s="10" t="str">
        <f>ランキング1000曲!E444</f>
        <v>1級</v>
      </c>
      <c r="H177" s="11" t="str">
        <f>ランキング1000曲!G444</f>
        <v>https://www.uta-net.com/song/9146/</v>
      </c>
    </row>
    <row r="178" spans="1:8" ht="30" customHeight="1">
      <c r="A178" s="7">
        <v>439</v>
      </c>
      <c r="B178" s="9" t="s">
        <v>277</v>
      </c>
      <c r="C178" s="9" t="s">
        <v>278</v>
      </c>
      <c r="D178" s="8">
        <v>38889</v>
      </c>
      <c r="E178" s="2" t="s">
        <v>13</v>
      </c>
      <c r="F178" s="15" t="b">
        <v>0</v>
      </c>
      <c r="G178" s="10" t="str">
        <f>ランキング1000曲!E445</f>
        <v>1級</v>
      </c>
      <c r="H178" s="11" t="str">
        <f>ランキング1000曲!G445</f>
        <v>https://www.uta-net.com/song/8885/</v>
      </c>
    </row>
    <row r="179" spans="1:8" ht="30" customHeight="1">
      <c r="A179" s="7">
        <v>442</v>
      </c>
      <c r="B179" s="9" t="s">
        <v>279</v>
      </c>
      <c r="C179" s="9" t="s">
        <v>280</v>
      </c>
      <c r="D179" s="8">
        <v>34584</v>
      </c>
      <c r="E179" s="2" t="s">
        <v>13</v>
      </c>
      <c r="F179" s="15" t="b">
        <v>1</v>
      </c>
      <c r="G179" s="10" t="str">
        <f>ランキング1000曲!E448</f>
        <v>1級</v>
      </c>
      <c r="H179" s="11" t="str">
        <f>ランキング1000曲!G448</f>
        <v>https://www.uta-net.com/song/4308/</v>
      </c>
    </row>
    <row r="180" spans="1:8" ht="30" customHeight="1">
      <c r="A180" s="7">
        <v>443</v>
      </c>
      <c r="B180" s="9" t="s">
        <v>281</v>
      </c>
      <c r="C180" s="9" t="s">
        <v>183</v>
      </c>
      <c r="D180" s="8">
        <v>32075</v>
      </c>
      <c r="E180" s="2" t="s">
        <v>13</v>
      </c>
      <c r="F180" s="15" t="b">
        <v>1</v>
      </c>
      <c r="G180" s="10" t="str">
        <f>ランキング1000曲!E449</f>
        <v>1級</v>
      </c>
      <c r="H180" s="11" t="str">
        <f>ランキング1000曲!G449</f>
        <v>https://www.uta-net.com/song/5064/</v>
      </c>
    </row>
    <row r="181" spans="1:8" ht="30" customHeight="1">
      <c r="A181" s="7">
        <v>444</v>
      </c>
      <c r="B181" s="9" t="s">
        <v>282</v>
      </c>
      <c r="C181" s="9" t="s">
        <v>283</v>
      </c>
      <c r="D181" s="8">
        <v>37734</v>
      </c>
      <c r="E181" s="2" t="s">
        <v>13</v>
      </c>
      <c r="F181" s="15" t="b">
        <v>0</v>
      </c>
      <c r="G181" s="10" t="str">
        <f>ランキング1000曲!E450</f>
        <v>1級</v>
      </c>
      <c r="H181" s="11" t="str">
        <f>ランキング1000曲!G450</f>
        <v>https://www.uta-net.com/song/9951/</v>
      </c>
    </row>
    <row r="182" spans="1:8" ht="30" customHeight="1">
      <c r="A182" s="7">
        <v>445</v>
      </c>
      <c r="B182" s="9" t="s">
        <v>284</v>
      </c>
      <c r="C182" s="9" t="s">
        <v>247</v>
      </c>
      <c r="D182" s="8">
        <v>39771</v>
      </c>
      <c r="E182" s="2" t="s">
        <v>13</v>
      </c>
      <c r="F182" s="15" t="b">
        <v>0</v>
      </c>
      <c r="G182" s="10" t="str">
        <f>ランキング1000曲!E451</f>
        <v>1級</v>
      </c>
      <c r="H182" s="11" t="str">
        <f>ランキング1000曲!G451</f>
        <v>https://www.uta-net.com/song/72586/</v>
      </c>
    </row>
    <row r="183" spans="1:8" ht="30" customHeight="1">
      <c r="A183" s="7">
        <v>449</v>
      </c>
      <c r="B183" s="9" t="s">
        <v>285</v>
      </c>
      <c r="C183" s="9" t="s">
        <v>134</v>
      </c>
      <c r="D183" s="8">
        <v>40030</v>
      </c>
      <c r="E183" s="2" t="s">
        <v>13</v>
      </c>
      <c r="F183" s="15" t="b">
        <v>1</v>
      </c>
      <c r="G183" s="10" t="str">
        <f>ランキング1000曲!E455</f>
        <v>1級</v>
      </c>
      <c r="H183" s="11" t="str">
        <f>ランキング1000曲!G455</f>
        <v>https://www.uta-net.com/song/82463/</v>
      </c>
    </row>
    <row r="184" spans="1:8" ht="30" customHeight="1">
      <c r="A184" s="7">
        <v>451</v>
      </c>
      <c r="B184" s="9" t="s">
        <v>286</v>
      </c>
      <c r="C184" s="9" t="s">
        <v>287</v>
      </c>
      <c r="D184" s="8">
        <v>37398</v>
      </c>
      <c r="E184" s="2" t="s">
        <v>13</v>
      </c>
      <c r="F184" s="15" t="b">
        <v>1</v>
      </c>
      <c r="G184" s="10" t="str">
        <f>ランキング1000曲!E457</f>
        <v>1級</v>
      </c>
      <c r="H184" s="11" t="str">
        <f>ランキング1000曲!G457</f>
        <v>https://www.uta-net.com/song/16784/</v>
      </c>
    </row>
    <row r="185" spans="1:8" ht="30" customHeight="1">
      <c r="A185" s="7">
        <v>452</v>
      </c>
      <c r="B185" s="9" t="s">
        <v>288</v>
      </c>
      <c r="C185" s="9" t="s">
        <v>86</v>
      </c>
      <c r="D185" s="8">
        <v>36789</v>
      </c>
      <c r="E185" s="2" t="s">
        <v>13</v>
      </c>
      <c r="F185" s="15" t="b">
        <v>0</v>
      </c>
      <c r="G185" s="10" t="str">
        <f>ランキング1000曲!E458</f>
        <v>1級</v>
      </c>
      <c r="H185" s="11" t="str">
        <f>ランキング1000曲!G458</f>
        <v>https://www.uta-net.com/song/12512/</v>
      </c>
    </row>
    <row r="186" spans="1:8" ht="30" customHeight="1">
      <c r="A186" s="7">
        <v>453</v>
      </c>
      <c r="B186" s="9" t="s">
        <v>289</v>
      </c>
      <c r="C186" s="9" t="s">
        <v>21</v>
      </c>
      <c r="D186" s="8">
        <v>37825</v>
      </c>
      <c r="E186" s="2" t="s">
        <v>13</v>
      </c>
      <c r="F186" s="15" t="b">
        <v>0</v>
      </c>
      <c r="G186" s="10" t="str">
        <f>ランキング1000曲!E459</f>
        <v>1級</v>
      </c>
      <c r="H186" s="11" t="str">
        <f>ランキング1000曲!G459</f>
        <v>https://www.uta-net.com/song/17700/</v>
      </c>
    </row>
    <row r="187" spans="1:8" ht="30" customHeight="1">
      <c r="A187" s="7">
        <v>454</v>
      </c>
      <c r="B187" s="9" t="s">
        <v>290</v>
      </c>
      <c r="C187" s="9" t="s">
        <v>88</v>
      </c>
      <c r="D187" s="8">
        <v>32319</v>
      </c>
      <c r="E187" s="2" t="s">
        <v>13</v>
      </c>
      <c r="F187" s="15" t="b">
        <v>1</v>
      </c>
      <c r="G187" s="10" t="str">
        <f>ランキング1000曲!E460</f>
        <v>1級</v>
      </c>
      <c r="H187" s="11" t="str">
        <f>ランキング1000曲!G460</f>
        <v>https://www.uta-net.com/song/702/</v>
      </c>
    </row>
    <row r="188" spans="1:8" ht="30" customHeight="1">
      <c r="A188" s="7">
        <v>455</v>
      </c>
      <c r="B188" s="9" t="s">
        <v>291</v>
      </c>
      <c r="C188" s="9" t="s">
        <v>292</v>
      </c>
      <c r="D188" s="8">
        <v>33990</v>
      </c>
      <c r="E188" s="2" t="s">
        <v>13</v>
      </c>
      <c r="F188" s="15" t="b">
        <v>1</v>
      </c>
      <c r="G188" s="10" t="str">
        <f>ランキング1000曲!E461</f>
        <v>1級</v>
      </c>
      <c r="H188" s="11" t="str">
        <f>ランキング1000曲!G461</f>
        <v>https://www.uta-net.com/song/4877/</v>
      </c>
    </row>
    <row r="189" spans="1:8" ht="30" customHeight="1">
      <c r="A189" s="7">
        <v>458</v>
      </c>
      <c r="B189" s="9" t="s">
        <v>293</v>
      </c>
      <c r="C189" s="9" t="s">
        <v>294</v>
      </c>
      <c r="D189" s="8">
        <v>38490</v>
      </c>
      <c r="E189" s="2" t="s">
        <v>13</v>
      </c>
      <c r="F189" s="15" t="b">
        <v>0</v>
      </c>
      <c r="G189" s="10" t="str">
        <f>ランキング1000曲!E464</f>
        <v>1級</v>
      </c>
      <c r="H189" s="11" t="str">
        <f>ランキング1000曲!G464</f>
        <v>https://www.uta-net.com/song/2273/</v>
      </c>
    </row>
    <row r="190" spans="1:8" ht="30" customHeight="1">
      <c r="A190" s="7">
        <v>461</v>
      </c>
      <c r="B190" s="9" t="s">
        <v>295</v>
      </c>
      <c r="C190" s="9" t="s">
        <v>29</v>
      </c>
      <c r="D190" s="8">
        <v>39925</v>
      </c>
      <c r="E190" s="2" t="s">
        <v>13</v>
      </c>
      <c r="F190" s="15" t="b">
        <v>0</v>
      </c>
      <c r="G190" s="10" t="str">
        <f>ランキング1000曲!E467</f>
        <v>1級</v>
      </c>
      <c r="H190" s="11" t="str">
        <f>ランキング1000曲!G467</f>
        <v>https://www.uta-net.com/song/5949/</v>
      </c>
    </row>
    <row r="191" spans="1:8" ht="30" customHeight="1">
      <c r="A191" s="7">
        <v>462</v>
      </c>
      <c r="B191" s="9" t="s">
        <v>296</v>
      </c>
      <c r="C191" s="9" t="s">
        <v>297</v>
      </c>
      <c r="D191" s="8">
        <v>36747</v>
      </c>
      <c r="E191" s="2" t="s">
        <v>13</v>
      </c>
      <c r="F191" s="15" t="b">
        <v>1</v>
      </c>
      <c r="G191" s="10" t="str">
        <f>ランキング1000曲!E468</f>
        <v>1級</v>
      </c>
      <c r="H191" s="11" t="str">
        <f>ランキング1000曲!G468</f>
        <v>https://www.uta-net.com/song/12541/</v>
      </c>
    </row>
    <row r="192" spans="1:8" ht="30" customHeight="1">
      <c r="A192" s="7">
        <v>463</v>
      </c>
      <c r="B192" s="9" t="s">
        <v>298</v>
      </c>
      <c r="C192" s="9" t="s">
        <v>216</v>
      </c>
      <c r="D192" s="8">
        <v>39715</v>
      </c>
      <c r="E192" s="2" t="s">
        <v>13</v>
      </c>
      <c r="F192" s="15" t="b">
        <v>0</v>
      </c>
      <c r="G192" s="10" t="str">
        <f>ランキング1000曲!E469</f>
        <v>1級</v>
      </c>
      <c r="H192" s="11" t="str">
        <f>ランキング1000曲!G469</f>
        <v>https://www.uta-net.com/song/70629/</v>
      </c>
    </row>
    <row r="193" spans="1:8" ht="30" customHeight="1">
      <c r="A193" s="7">
        <v>464</v>
      </c>
      <c r="B193" s="9" t="s">
        <v>49</v>
      </c>
      <c r="C193" s="9" t="s">
        <v>12</v>
      </c>
      <c r="D193" s="8">
        <v>39099</v>
      </c>
      <c r="E193" s="2" t="s">
        <v>13</v>
      </c>
      <c r="F193" s="15" t="b">
        <v>1</v>
      </c>
      <c r="G193" s="10" t="str">
        <f>ランキング1000曲!E470</f>
        <v>1級</v>
      </c>
      <c r="H193" s="11" t="str">
        <f>ランキング1000曲!G470</f>
        <v>https://www.uta-net.com/song/51134/</v>
      </c>
    </row>
    <row r="194" spans="1:8" ht="30" customHeight="1">
      <c r="A194" s="7">
        <v>466</v>
      </c>
      <c r="B194" s="9" t="s">
        <v>299</v>
      </c>
      <c r="C194" s="9" t="s">
        <v>227</v>
      </c>
      <c r="D194" s="8">
        <v>33373</v>
      </c>
      <c r="E194" s="2" t="s">
        <v>13</v>
      </c>
      <c r="F194" s="15" t="b">
        <v>0</v>
      </c>
      <c r="G194" s="10" t="str">
        <f>ランキング1000曲!E472</f>
        <v>1級</v>
      </c>
      <c r="H194" s="11" t="str">
        <f>ランキング1000曲!G472</f>
        <v>https://www.uta-net.com/song/2864/</v>
      </c>
    </row>
    <row r="195" spans="1:8" ht="30" customHeight="1">
      <c r="A195" s="7">
        <v>467</v>
      </c>
      <c r="B195" s="9" t="s">
        <v>300</v>
      </c>
      <c r="C195" s="9" t="s">
        <v>12</v>
      </c>
      <c r="D195" s="8">
        <v>39841</v>
      </c>
      <c r="E195" s="2" t="s">
        <v>13</v>
      </c>
      <c r="F195" s="15" t="b">
        <v>0</v>
      </c>
      <c r="G195" s="10" t="str">
        <f>ランキング1000曲!E473</f>
        <v>1級</v>
      </c>
      <c r="H195" s="11" t="str">
        <f>ランキング1000曲!G473</f>
        <v>https://www.uta-net.com/song/74955/</v>
      </c>
    </row>
    <row r="196" spans="1:8" ht="30" customHeight="1">
      <c r="A196" s="7">
        <v>468</v>
      </c>
      <c r="B196" s="9" t="s">
        <v>301</v>
      </c>
      <c r="C196" s="9" t="s">
        <v>153</v>
      </c>
      <c r="D196" s="8">
        <v>36460</v>
      </c>
      <c r="E196" s="2" t="s">
        <v>13</v>
      </c>
      <c r="F196" s="15" t="b">
        <v>0</v>
      </c>
      <c r="G196" s="10" t="str">
        <f>ランキング1000曲!E474</f>
        <v>1級</v>
      </c>
      <c r="H196" s="11" t="str">
        <f>ランキング1000曲!G474</f>
        <v>https://www.uta-net.com/song/12118/</v>
      </c>
    </row>
    <row r="197" spans="1:8" ht="30" customHeight="1">
      <c r="A197" s="7">
        <v>476</v>
      </c>
      <c r="B197" s="9" t="s">
        <v>302</v>
      </c>
      <c r="C197" s="9" t="s">
        <v>83</v>
      </c>
      <c r="D197" s="8">
        <v>39141</v>
      </c>
      <c r="E197" s="2" t="s">
        <v>13</v>
      </c>
      <c r="F197" s="15" t="b">
        <v>0</v>
      </c>
      <c r="G197" s="10" t="str">
        <f>ランキング1000曲!E482</f>
        <v>1級</v>
      </c>
      <c r="H197" s="11" t="str">
        <f>ランキング1000曲!G482</f>
        <v>https://www.uta-net.com/song/51543/</v>
      </c>
    </row>
    <row r="198" spans="1:8" ht="30" customHeight="1">
      <c r="A198" s="7">
        <v>477</v>
      </c>
      <c r="B198" s="9" t="s">
        <v>303</v>
      </c>
      <c r="C198" s="9" t="s">
        <v>304</v>
      </c>
      <c r="D198" s="8">
        <v>33870</v>
      </c>
      <c r="E198" s="2" t="s">
        <v>13</v>
      </c>
      <c r="F198" s="15" t="b">
        <v>0</v>
      </c>
      <c r="G198" s="10" t="str">
        <f>ランキング1000曲!E483</f>
        <v>1級</v>
      </c>
      <c r="H198" s="11" t="str">
        <f>ランキング1000曲!G483</f>
        <v>https://www.uta-net.com/song/7362/</v>
      </c>
    </row>
    <row r="199" spans="1:8" ht="30" customHeight="1">
      <c r="A199" s="7">
        <v>478</v>
      </c>
      <c r="B199" s="9" t="s">
        <v>305</v>
      </c>
      <c r="C199" s="9" t="s">
        <v>306</v>
      </c>
      <c r="D199" s="8">
        <v>35268</v>
      </c>
      <c r="E199" s="2" t="s">
        <v>13</v>
      </c>
      <c r="F199" s="15" t="b">
        <v>0</v>
      </c>
      <c r="G199" s="10" t="str">
        <f>ランキング1000曲!E484</f>
        <v>1級</v>
      </c>
      <c r="H199" s="11" t="str">
        <f>ランキング1000曲!G484</f>
        <v>https://www.uta-net.com/song/43307/</v>
      </c>
    </row>
    <row r="200" spans="1:8" ht="30" customHeight="1">
      <c r="A200" s="7">
        <v>481</v>
      </c>
      <c r="B200" s="9" t="s">
        <v>307</v>
      </c>
      <c r="C200" s="9" t="s">
        <v>308</v>
      </c>
      <c r="D200" s="8">
        <v>34141</v>
      </c>
      <c r="E200" s="2" t="s">
        <v>13</v>
      </c>
      <c r="F200" s="15" t="b">
        <v>1</v>
      </c>
      <c r="G200" s="10" t="str">
        <f>ランキング1000曲!E487</f>
        <v>1級</v>
      </c>
      <c r="H200" s="11" t="str">
        <f>ランキング1000曲!G487</f>
        <v>https://www.uta-net.com/song/2452/</v>
      </c>
    </row>
    <row r="201" spans="1:8" ht="42" customHeight="1">
      <c r="A201" s="7">
        <v>483</v>
      </c>
      <c r="B201" s="9" t="s">
        <v>309</v>
      </c>
      <c r="C201" s="9" t="s">
        <v>310</v>
      </c>
      <c r="D201" s="8">
        <v>39652</v>
      </c>
      <c r="E201" s="2" t="s">
        <v>13</v>
      </c>
      <c r="F201" s="15" t="b">
        <v>0</v>
      </c>
      <c r="G201" s="10" t="str">
        <f>ランキング1000曲!E489</f>
        <v>1級</v>
      </c>
      <c r="H201" s="11" t="str">
        <f>ランキング1000曲!G489</f>
        <v>https://www.uta-net.com/song/67698/</v>
      </c>
    </row>
    <row r="202" spans="1:8" ht="30" customHeight="1">
      <c r="A202" s="7">
        <v>484</v>
      </c>
      <c r="B202" s="9" t="s">
        <v>311</v>
      </c>
      <c r="C202" s="9" t="s">
        <v>233</v>
      </c>
      <c r="D202" s="8">
        <v>34631</v>
      </c>
      <c r="E202" s="2" t="s">
        <v>13</v>
      </c>
      <c r="F202" s="15" t="b">
        <v>1</v>
      </c>
      <c r="G202" s="10" t="str">
        <f>ランキング1000曲!E490</f>
        <v>1級</v>
      </c>
      <c r="H202" s="11" t="str">
        <f>ランキング1000曲!G490</f>
        <v>https://www.uta-net.com/song/7669/</v>
      </c>
    </row>
    <row r="203" spans="1:8" ht="30" customHeight="1">
      <c r="A203" s="7">
        <v>485</v>
      </c>
      <c r="B203" s="9" t="s">
        <v>312</v>
      </c>
      <c r="C203" s="9" t="s">
        <v>313</v>
      </c>
      <c r="D203" s="8">
        <v>38168</v>
      </c>
      <c r="E203" s="2" t="s">
        <v>13</v>
      </c>
      <c r="F203" s="15" t="b">
        <v>1</v>
      </c>
      <c r="G203" s="10" t="str">
        <f>ランキング1000曲!E491</f>
        <v>1級</v>
      </c>
      <c r="H203" s="11" t="str">
        <f>ランキング1000曲!G491</f>
        <v>https://www.uta-net.com/song/19170/</v>
      </c>
    </row>
    <row r="204" spans="1:8" ht="30" customHeight="1">
      <c r="A204" s="7">
        <v>489</v>
      </c>
      <c r="B204" s="9" t="s">
        <v>314</v>
      </c>
      <c r="C204" s="9" t="s">
        <v>12</v>
      </c>
      <c r="D204" s="8">
        <v>39785</v>
      </c>
      <c r="E204" s="2" t="s">
        <v>13</v>
      </c>
      <c r="F204" s="15" t="b">
        <v>0</v>
      </c>
      <c r="G204" s="10" t="str">
        <f>ランキング1000曲!E495</f>
        <v>1級</v>
      </c>
      <c r="H204" s="11" t="str">
        <f>ランキング1000曲!G495</f>
        <v>https://www.uta-net.com/song/73295/</v>
      </c>
    </row>
    <row r="205" spans="1:8" ht="30" customHeight="1">
      <c r="A205" s="7">
        <v>490</v>
      </c>
      <c r="B205" s="9" t="s">
        <v>315</v>
      </c>
      <c r="C205" s="9" t="s">
        <v>316</v>
      </c>
      <c r="D205" s="8">
        <v>36978</v>
      </c>
      <c r="E205" s="2" t="s">
        <v>13</v>
      </c>
      <c r="F205" s="15" t="b">
        <v>0</v>
      </c>
      <c r="G205" s="10" t="str">
        <f>ランキング1000曲!E496</f>
        <v>1級</v>
      </c>
      <c r="H205" s="11" t="str">
        <f>ランキング1000曲!G496</f>
        <v>https://www.uta-net.com/song/10387/</v>
      </c>
    </row>
    <row r="206" spans="1:8" ht="30" customHeight="1">
      <c r="A206" s="7">
        <v>491</v>
      </c>
      <c r="B206" s="9" t="s">
        <v>317</v>
      </c>
      <c r="C206" s="9" t="s">
        <v>318</v>
      </c>
      <c r="D206" s="8">
        <v>34102</v>
      </c>
      <c r="E206" s="2" t="s">
        <v>13</v>
      </c>
      <c r="F206" s="15" t="b">
        <v>1</v>
      </c>
      <c r="G206" s="10" t="str">
        <f>ランキング1000曲!E497</f>
        <v>1級</v>
      </c>
      <c r="H206" s="11" t="str">
        <f>ランキング1000曲!G497</f>
        <v>https://www.uta-net.com/song/7263/</v>
      </c>
    </row>
    <row r="207" spans="1:8" ht="30" customHeight="1">
      <c r="A207" s="7">
        <v>495</v>
      </c>
      <c r="B207" s="9" t="s">
        <v>319</v>
      </c>
      <c r="C207" s="9" t="s">
        <v>320</v>
      </c>
      <c r="D207" s="8">
        <v>38665</v>
      </c>
      <c r="E207" s="2" t="s">
        <v>13</v>
      </c>
      <c r="F207" s="15" t="b">
        <v>0</v>
      </c>
      <c r="G207" s="10" t="str">
        <f>ランキング1000曲!E501</f>
        <v>1級</v>
      </c>
      <c r="H207" s="11" t="str">
        <f>ランキング1000曲!G501</f>
        <v>https://www.uta-net.com/song/4786/</v>
      </c>
    </row>
    <row r="208" spans="1:8" ht="30" customHeight="1">
      <c r="A208" s="7">
        <v>496</v>
      </c>
      <c r="B208" s="9" t="s">
        <v>321</v>
      </c>
      <c r="C208" s="9" t="s">
        <v>322</v>
      </c>
      <c r="D208" s="8">
        <v>39869</v>
      </c>
      <c r="E208" s="2" t="s">
        <v>13</v>
      </c>
      <c r="F208" s="15" t="b">
        <v>0</v>
      </c>
      <c r="G208" s="10" t="str">
        <f>ランキング1000曲!E502</f>
        <v>1級</v>
      </c>
      <c r="H208" s="11" t="str">
        <f>ランキング1000曲!G502</f>
        <v>https://www.uta-net.com/song/75987/</v>
      </c>
    </row>
    <row r="209" spans="1:8" ht="30" customHeight="1">
      <c r="A209" s="7">
        <v>499</v>
      </c>
      <c r="B209" s="9" t="s">
        <v>323</v>
      </c>
      <c r="C209" s="9" t="s">
        <v>264</v>
      </c>
      <c r="D209" s="8">
        <v>37972</v>
      </c>
      <c r="E209" s="2" t="s">
        <v>13</v>
      </c>
      <c r="F209" s="15" t="b">
        <v>1</v>
      </c>
      <c r="G209" s="10" t="str">
        <f>ランキング1000曲!E505</f>
        <v>1級</v>
      </c>
      <c r="H209" s="11" t="str">
        <f>ランキング1000曲!G505</f>
        <v>https://www.uta-net.com/song/18475/</v>
      </c>
    </row>
    <row r="210" spans="1:8" ht="30" customHeight="1">
      <c r="A210" s="7">
        <v>502</v>
      </c>
      <c r="B210" s="9" t="s">
        <v>324</v>
      </c>
      <c r="C210" s="9" t="s">
        <v>35</v>
      </c>
      <c r="D210" s="8">
        <v>38707</v>
      </c>
      <c r="E210" s="2" t="s">
        <v>13</v>
      </c>
      <c r="F210" s="15" t="b">
        <v>0</v>
      </c>
      <c r="G210" s="10" t="str">
        <f>ランキング1000曲!E508</f>
        <v>初段</v>
      </c>
      <c r="H210" s="11" t="str">
        <f>ランキング1000曲!G508</f>
        <v>https://www.uta-net.com/song/9054/</v>
      </c>
    </row>
    <row r="211" spans="1:8" ht="30" customHeight="1">
      <c r="A211" s="7">
        <v>504</v>
      </c>
      <c r="B211" s="9" t="s">
        <v>325</v>
      </c>
      <c r="C211" s="9" t="s">
        <v>326</v>
      </c>
      <c r="D211" s="8">
        <v>37111</v>
      </c>
      <c r="E211" s="2" t="s">
        <v>13</v>
      </c>
      <c r="F211" s="15" t="b">
        <v>1</v>
      </c>
      <c r="G211" s="10" t="str">
        <f>ランキング1000曲!E510</f>
        <v>初段</v>
      </c>
      <c r="H211" s="11" t="str">
        <f>ランキング1000曲!G510</f>
        <v>https://www.uta-net.com/song/13699/</v>
      </c>
    </row>
    <row r="212" spans="1:8" ht="30" customHeight="1">
      <c r="A212" s="7">
        <v>505</v>
      </c>
      <c r="B212" s="9" t="s">
        <v>327</v>
      </c>
      <c r="C212" s="9" t="s">
        <v>328</v>
      </c>
      <c r="D212" s="8">
        <v>40135</v>
      </c>
      <c r="E212" s="2" t="s">
        <v>13</v>
      </c>
      <c r="F212" s="15" t="b">
        <v>1</v>
      </c>
      <c r="G212" s="10" t="str">
        <f>ランキング1000曲!E511</f>
        <v>初段</v>
      </c>
      <c r="H212" s="11" t="str">
        <f>ランキング1000曲!G511</f>
        <v>https://www.uta-net.com/song/85467/</v>
      </c>
    </row>
    <row r="213" spans="1:8" ht="30" customHeight="1">
      <c r="A213" s="7">
        <v>508</v>
      </c>
      <c r="B213" s="9" t="s">
        <v>329</v>
      </c>
      <c r="C213" s="9" t="s">
        <v>280</v>
      </c>
      <c r="D213" s="8">
        <v>34584</v>
      </c>
      <c r="E213" s="2" t="s">
        <v>13</v>
      </c>
      <c r="F213" s="15" t="b">
        <v>1</v>
      </c>
      <c r="G213" s="10" t="str">
        <f>ランキング1000曲!E514</f>
        <v>初段</v>
      </c>
      <c r="H213" s="11" t="str">
        <f>ランキング1000曲!G514</f>
        <v>https://www.uta-net.com/song/172655/</v>
      </c>
    </row>
    <row r="214" spans="1:8" ht="30" customHeight="1">
      <c r="A214" s="7">
        <v>511</v>
      </c>
      <c r="B214" s="9" t="s">
        <v>330</v>
      </c>
      <c r="C214" s="9" t="s">
        <v>331</v>
      </c>
      <c r="D214" s="8">
        <v>36369</v>
      </c>
      <c r="E214" s="2" t="s">
        <v>13</v>
      </c>
      <c r="F214" s="15" t="b">
        <v>1</v>
      </c>
      <c r="G214" s="10" t="str">
        <f>ランキング1000曲!E517</f>
        <v>初段</v>
      </c>
      <c r="H214" s="11" t="str">
        <f>ランキング1000曲!G517</f>
        <v>https://www.uta-net.com/song/2568/</v>
      </c>
    </row>
    <row r="215" spans="1:8" ht="42" customHeight="1">
      <c r="A215" s="7">
        <v>514</v>
      </c>
      <c r="B215" s="9" t="s">
        <v>332</v>
      </c>
      <c r="C215" s="9" t="s">
        <v>67</v>
      </c>
      <c r="D215" s="8">
        <v>39148</v>
      </c>
      <c r="E215" s="2" t="s">
        <v>13</v>
      </c>
      <c r="F215" s="15" t="b">
        <v>1</v>
      </c>
      <c r="G215" s="10" t="str">
        <f>ランキング1000曲!E520</f>
        <v>初段</v>
      </c>
      <c r="H215" s="11" t="str">
        <f>ランキング1000曲!G520</f>
        <v>https://www.uta-net.com/song/52084/</v>
      </c>
    </row>
    <row r="216" spans="1:8" ht="30" customHeight="1">
      <c r="A216" s="7">
        <v>516</v>
      </c>
      <c r="B216" s="9" t="s">
        <v>333</v>
      </c>
      <c r="C216" s="9" t="s">
        <v>29</v>
      </c>
      <c r="D216" s="8">
        <v>37931</v>
      </c>
      <c r="E216" s="2" t="s">
        <v>13</v>
      </c>
      <c r="F216" s="15" t="b">
        <v>0</v>
      </c>
      <c r="G216" s="10" t="str">
        <f>ランキング1000曲!E522</f>
        <v>初段</v>
      </c>
      <c r="H216" s="11" t="str">
        <f>ランキング1000曲!G522</f>
        <v>https://www.uta-net.com/song/46447/</v>
      </c>
    </row>
    <row r="217" spans="1:8" ht="30" customHeight="1">
      <c r="A217" s="7">
        <v>517</v>
      </c>
      <c r="B217" s="9" t="s">
        <v>334</v>
      </c>
      <c r="C217" s="9" t="s">
        <v>195</v>
      </c>
      <c r="D217" s="8">
        <v>33275</v>
      </c>
      <c r="E217" s="2" t="s">
        <v>13</v>
      </c>
      <c r="F217" s="15" t="b">
        <v>1</v>
      </c>
      <c r="G217" s="10" t="str">
        <f>ランキング1000曲!E523</f>
        <v>初段</v>
      </c>
      <c r="H217" s="11" t="str">
        <f>ランキング1000曲!G523</f>
        <v>https://www.uta-net.com/song/2203/</v>
      </c>
    </row>
    <row r="218" spans="1:8" ht="30" customHeight="1">
      <c r="A218" s="7">
        <v>518</v>
      </c>
      <c r="B218" s="9" t="s">
        <v>335</v>
      </c>
      <c r="C218" s="9" t="s">
        <v>45</v>
      </c>
      <c r="D218" s="8">
        <v>38434</v>
      </c>
      <c r="E218" s="2" t="s">
        <v>13</v>
      </c>
      <c r="F218" s="15" t="b">
        <v>1</v>
      </c>
      <c r="G218" s="10" t="str">
        <f>ランキング1000曲!E524</f>
        <v>初段</v>
      </c>
      <c r="H218" s="11" t="str">
        <f>ランキング1000曲!G524</f>
        <v>https://www.uta-net.com/song/25764/</v>
      </c>
    </row>
    <row r="219" spans="1:8" ht="30" customHeight="1">
      <c r="A219" s="7">
        <v>519</v>
      </c>
      <c r="B219" s="9" t="s">
        <v>336</v>
      </c>
      <c r="C219" s="9" t="s">
        <v>337</v>
      </c>
      <c r="D219" s="8">
        <v>38952</v>
      </c>
      <c r="E219" s="2" t="s">
        <v>13</v>
      </c>
      <c r="F219" s="15" t="b">
        <v>1</v>
      </c>
      <c r="G219" s="10" t="str">
        <f>ランキング1000曲!E525</f>
        <v>初段</v>
      </c>
      <c r="H219" s="11" t="str">
        <f>ランキング1000曲!G525</f>
        <v>https://www.uta-net.com/song/44398/</v>
      </c>
    </row>
    <row r="220" spans="1:8" ht="30" customHeight="1">
      <c r="A220" s="7">
        <v>520</v>
      </c>
      <c r="B220" s="9" t="s">
        <v>338</v>
      </c>
      <c r="C220" s="9" t="s">
        <v>19</v>
      </c>
      <c r="D220" s="8">
        <v>37601</v>
      </c>
      <c r="E220" s="2" t="s">
        <v>13</v>
      </c>
      <c r="F220" s="15" t="b">
        <v>1</v>
      </c>
      <c r="G220" s="10" t="str">
        <f>ランキング1000曲!E526</f>
        <v>初段</v>
      </c>
      <c r="H220" s="11" t="str">
        <f>ランキング1000曲!G526</f>
        <v>https://www.uta-net.com/song/16528/</v>
      </c>
    </row>
    <row r="221" spans="1:8" ht="30" customHeight="1">
      <c r="A221" s="7">
        <v>523</v>
      </c>
      <c r="B221" s="9" t="s">
        <v>339</v>
      </c>
      <c r="C221" s="9" t="s">
        <v>29</v>
      </c>
      <c r="D221" s="8">
        <v>39785</v>
      </c>
      <c r="E221" s="2" t="s">
        <v>13</v>
      </c>
      <c r="F221" s="15" t="b">
        <v>0</v>
      </c>
      <c r="G221" s="10" t="str">
        <f>ランキング1000曲!E529</f>
        <v>初段</v>
      </c>
      <c r="H221" s="11" t="str">
        <f>ランキング1000曲!G529</f>
        <v>https://www.uta-net.com/song/76761/</v>
      </c>
    </row>
    <row r="222" spans="1:8" ht="30" customHeight="1">
      <c r="A222" s="7">
        <v>524</v>
      </c>
      <c r="B222" s="9" t="s">
        <v>340</v>
      </c>
      <c r="C222" s="9" t="s">
        <v>29</v>
      </c>
      <c r="D222" s="8">
        <v>38952</v>
      </c>
      <c r="E222" s="2" t="s">
        <v>13</v>
      </c>
      <c r="F222" s="15" t="b">
        <v>0</v>
      </c>
      <c r="G222" s="10" t="str">
        <f>ランキング1000曲!E530</f>
        <v>初段</v>
      </c>
      <c r="H222" s="11" t="str">
        <f>ランキング1000曲!G530</f>
        <v>https://www.uta-net.com/song/13991/</v>
      </c>
    </row>
    <row r="223" spans="1:8" ht="30" customHeight="1">
      <c r="A223" s="7">
        <v>526</v>
      </c>
      <c r="B223" s="9" t="s">
        <v>341</v>
      </c>
      <c r="C223" s="9" t="s">
        <v>40</v>
      </c>
      <c r="D223" s="8">
        <v>35949</v>
      </c>
      <c r="E223" s="2" t="s">
        <v>13</v>
      </c>
      <c r="F223" s="15" t="b">
        <v>0</v>
      </c>
      <c r="G223" s="10" t="str">
        <f>ランキング1000曲!E532</f>
        <v>初段</v>
      </c>
      <c r="H223" s="11" t="str">
        <f>ランキング1000曲!G532</f>
        <v>https://www.uta-net.com/song/10469/</v>
      </c>
    </row>
    <row r="224" spans="1:8" ht="30" customHeight="1">
      <c r="A224" s="7">
        <v>527</v>
      </c>
      <c r="B224" s="9" t="s">
        <v>342</v>
      </c>
      <c r="C224" s="9" t="s">
        <v>31</v>
      </c>
      <c r="D224" s="8">
        <v>35632</v>
      </c>
      <c r="E224" s="2" t="s">
        <v>13</v>
      </c>
      <c r="F224" s="15" t="b">
        <v>1</v>
      </c>
      <c r="G224" s="10" t="str">
        <f>ランキング1000曲!E533</f>
        <v>初段</v>
      </c>
      <c r="H224" s="11" t="str">
        <f>ランキング1000曲!G533</f>
        <v>https://www.uta-net.com/song/9851/</v>
      </c>
    </row>
    <row r="225" spans="1:8" ht="30" customHeight="1">
      <c r="A225" s="7">
        <v>528</v>
      </c>
      <c r="B225" s="9" t="s">
        <v>343</v>
      </c>
      <c r="C225" s="9" t="s">
        <v>344</v>
      </c>
      <c r="D225" s="8">
        <v>35970</v>
      </c>
      <c r="E225" s="2" t="s">
        <v>13</v>
      </c>
      <c r="F225" s="15" t="b">
        <v>1</v>
      </c>
      <c r="G225" s="10" t="str">
        <f>ランキング1000曲!E534</f>
        <v>初段</v>
      </c>
      <c r="H225" s="11" t="str">
        <f>ランキング1000曲!G534</f>
        <v>https://www.uta-net.com/song/10378/</v>
      </c>
    </row>
    <row r="226" spans="1:8" ht="30" customHeight="1">
      <c r="A226" s="7">
        <v>529</v>
      </c>
      <c r="B226" s="9" t="s">
        <v>345</v>
      </c>
      <c r="C226" s="9" t="s">
        <v>172</v>
      </c>
      <c r="D226" s="8">
        <v>37090</v>
      </c>
      <c r="E226" s="2" t="s">
        <v>13</v>
      </c>
      <c r="F226" s="15" t="b">
        <v>0</v>
      </c>
      <c r="G226" s="10" t="str">
        <f>ランキング1000曲!E535</f>
        <v>初段</v>
      </c>
      <c r="H226" s="11" t="str">
        <f>ランキング1000曲!G535</f>
        <v>https://www.uta-net.com/song/77957/</v>
      </c>
    </row>
    <row r="227" spans="1:8" ht="30" customHeight="1">
      <c r="A227" s="7">
        <v>531</v>
      </c>
      <c r="B227" s="9" t="s">
        <v>346</v>
      </c>
      <c r="C227" s="9" t="s">
        <v>29</v>
      </c>
      <c r="D227" s="8">
        <v>34171</v>
      </c>
      <c r="E227" s="2" t="s">
        <v>13</v>
      </c>
      <c r="F227" s="15" t="b">
        <v>0</v>
      </c>
      <c r="G227" s="10" t="str">
        <f>ランキング1000曲!E537</f>
        <v>初段</v>
      </c>
      <c r="H227" s="11" t="str">
        <f>ランキング1000曲!G537</f>
        <v>https://www.uta-net.com/song/8431/</v>
      </c>
    </row>
    <row r="228" spans="1:8" ht="30" customHeight="1">
      <c r="A228" s="7">
        <v>532</v>
      </c>
      <c r="B228" s="9" t="s">
        <v>347</v>
      </c>
      <c r="C228" s="9" t="s">
        <v>348</v>
      </c>
      <c r="D228" s="8">
        <v>38322</v>
      </c>
      <c r="E228" s="2" t="s">
        <v>13</v>
      </c>
      <c r="F228" s="15" t="b">
        <v>1</v>
      </c>
      <c r="G228" s="10" t="str">
        <f>ランキング1000曲!E538</f>
        <v>初段</v>
      </c>
      <c r="H228" s="11" t="str">
        <f>ランキング1000曲!G538</f>
        <v>https://www.uta-net.com/song/21116/</v>
      </c>
    </row>
    <row r="229" spans="1:8" ht="30" customHeight="1">
      <c r="A229" s="7">
        <v>534</v>
      </c>
      <c r="B229" s="9" t="s">
        <v>349</v>
      </c>
      <c r="C229" s="9" t="s">
        <v>29</v>
      </c>
      <c r="D229" s="8">
        <v>39981</v>
      </c>
      <c r="E229" s="2" t="s">
        <v>13</v>
      </c>
      <c r="F229" s="15" t="b">
        <v>0</v>
      </c>
      <c r="G229" s="10" t="str">
        <f>ランキング1000曲!E540</f>
        <v>初段</v>
      </c>
      <c r="H229" s="11" t="str">
        <f>ランキング1000曲!G540</f>
        <v>https://www.uta-net.com/song/8883/</v>
      </c>
    </row>
    <row r="230" spans="1:8" ht="30" customHeight="1">
      <c r="A230" s="7">
        <v>535</v>
      </c>
      <c r="B230" s="9" t="s">
        <v>350</v>
      </c>
      <c r="C230" s="9" t="s">
        <v>351</v>
      </c>
      <c r="D230" s="8">
        <v>34700</v>
      </c>
      <c r="E230" s="2" t="s">
        <v>13</v>
      </c>
      <c r="F230" s="15" t="b">
        <v>0</v>
      </c>
      <c r="G230" s="10" t="str">
        <f>ランキング1000曲!E541</f>
        <v>初段</v>
      </c>
      <c r="H230" s="11" t="str">
        <f>ランキング1000曲!G541</f>
        <v>https://www.uta-net.com/song/3810/</v>
      </c>
    </row>
    <row r="231" spans="1:8" ht="30" customHeight="1">
      <c r="A231" s="7">
        <v>539</v>
      </c>
      <c r="B231" s="9" t="s">
        <v>352</v>
      </c>
      <c r="C231" s="9" t="s">
        <v>146</v>
      </c>
      <c r="D231" s="8">
        <v>38126</v>
      </c>
      <c r="E231" s="2" t="s">
        <v>13</v>
      </c>
      <c r="F231" s="15" t="b">
        <v>0</v>
      </c>
      <c r="G231" s="10" t="str">
        <f>ランキング1000曲!E545</f>
        <v>初段</v>
      </c>
      <c r="H231" s="11" t="str">
        <f>ランキング1000曲!G545</f>
        <v>https://www.uta-net.com/song/41434/</v>
      </c>
    </row>
    <row r="232" spans="1:8" ht="30" customHeight="1">
      <c r="A232" s="7">
        <v>540</v>
      </c>
      <c r="B232" s="9" t="s">
        <v>353</v>
      </c>
      <c r="C232" s="9" t="s">
        <v>354</v>
      </c>
      <c r="D232" s="8">
        <v>40086</v>
      </c>
      <c r="E232" s="2" t="s">
        <v>13</v>
      </c>
      <c r="F232" s="15" t="b">
        <v>0</v>
      </c>
      <c r="G232" s="10" t="str">
        <f>ランキング1000曲!E546</f>
        <v>初段</v>
      </c>
      <c r="H232" s="11" t="str">
        <f>ランキング1000曲!G546</f>
        <v>https://www.uta-net.com/song/86389/</v>
      </c>
    </row>
    <row r="233" spans="1:8" ht="30" customHeight="1">
      <c r="A233" s="7">
        <v>542</v>
      </c>
      <c r="B233" s="9" t="s">
        <v>355</v>
      </c>
      <c r="C233" s="9" t="s">
        <v>29</v>
      </c>
      <c r="D233" s="8">
        <v>40135</v>
      </c>
      <c r="E233" s="2" t="s">
        <v>13</v>
      </c>
      <c r="F233" s="15" t="b">
        <v>0</v>
      </c>
      <c r="G233" s="10" t="str">
        <f>ランキング1000曲!E548</f>
        <v>初段</v>
      </c>
      <c r="H233" s="11" t="str">
        <f>ランキング1000曲!G548</f>
        <v>https://www.uta-net.com/song/101879/</v>
      </c>
    </row>
    <row r="234" spans="1:8" ht="30" customHeight="1">
      <c r="A234" s="7">
        <v>544</v>
      </c>
      <c r="B234" s="9" t="s">
        <v>356</v>
      </c>
      <c r="C234" s="9" t="s">
        <v>88</v>
      </c>
      <c r="D234" s="8">
        <v>35837</v>
      </c>
      <c r="E234" s="2" t="s">
        <v>13</v>
      </c>
      <c r="F234" s="15" t="b">
        <v>1</v>
      </c>
      <c r="G234" s="10" t="str">
        <f>ランキング1000曲!E550</f>
        <v>初段</v>
      </c>
      <c r="H234" s="11" t="str">
        <f>ランキング1000曲!G550</f>
        <v>https://www.uta-net.com/song/10184/</v>
      </c>
    </row>
    <row r="235" spans="1:8" ht="42" customHeight="1">
      <c r="A235" s="7">
        <v>547</v>
      </c>
      <c r="B235" s="9" t="s">
        <v>357</v>
      </c>
      <c r="C235" s="9" t="s">
        <v>67</v>
      </c>
      <c r="D235" s="8">
        <v>34904</v>
      </c>
      <c r="E235" s="2" t="s">
        <v>13</v>
      </c>
      <c r="F235" s="15" t="b">
        <v>1</v>
      </c>
      <c r="G235" s="10" t="str">
        <f>ランキング1000曲!E553</f>
        <v>初段</v>
      </c>
      <c r="H235" s="11" t="str">
        <f>ランキング1000曲!G553</f>
        <v>https://www.uta-net.com/song/8564/</v>
      </c>
    </row>
    <row r="236" spans="1:8" ht="42" customHeight="1">
      <c r="A236" s="7">
        <v>551</v>
      </c>
      <c r="B236" s="9" t="s">
        <v>358</v>
      </c>
      <c r="C236" s="9" t="s">
        <v>359</v>
      </c>
      <c r="D236" s="8">
        <v>36892</v>
      </c>
      <c r="E236" s="2" t="s">
        <v>13</v>
      </c>
      <c r="F236" s="15" t="b">
        <v>1</v>
      </c>
      <c r="G236" s="10" t="str">
        <f>ランキング1000曲!E557</f>
        <v>初段</v>
      </c>
      <c r="H236" s="11" t="str">
        <f>ランキング1000曲!G557</f>
        <v>https://www.uta-net.com/song/12859/</v>
      </c>
    </row>
    <row r="237" spans="1:8" ht="30" customHeight="1">
      <c r="A237" s="7">
        <v>553</v>
      </c>
      <c r="B237" s="9" t="s">
        <v>360</v>
      </c>
      <c r="C237" s="9" t="s">
        <v>351</v>
      </c>
      <c r="D237" s="8">
        <v>33079</v>
      </c>
      <c r="E237" s="2" t="s">
        <v>13</v>
      </c>
      <c r="F237" s="15" t="b">
        <v>0</v>
      </c>
      <c r="G237" s="10" t="str">
        <f>ランキング1000曲!E559</f>
        <v>初段</v>
      </c>
      <c r="H237" s="11" t="str">
        <f>ランキング1000曲!G559</f>
        <v>https://www.uta-net.com/song/2565/</v>
      </c>
    </row>
    <row r="238" spans="1:8" ht="30" customHeight="1">
      <c r="A238" s="7">
        <v>554</v>
      </c>
      <c r="B238" s="9" t="s">
        <v>361</v>
      </c>
      <c r="C238" s="9" t="s">
        <v>209</v>
      </c>
      <c r="D238" s="8">
        <v>39631</v>
      </c>
      <c r="E238" s="2" t="s">
        <v>13</v>
      </c>
      <c r="F238" s="15" t="b">
        <v>1</v>
      </c>
      <c r="G238" s="10" t="str">
        <f>ランキング1000曲!E560</f>
        <v>初段</v>
      </c>
      <c r="H238" s="11" t="str">
        <f>ランキング1000曲!G560</f>
        <v>https://www.uta-net.com/song/67447/</v>
      </c>
    </row>
    <row r="239" spans="1:8" ht="30" customHeight="1">
      <c r="A239" s="7">
        <v>557</v>
      </c>
      <c r="B239" s="9" t="s">
        <v>362</v>
      </c>
      <c r="C239" s="9" t="s">
        <v>363</v>
      </c>
      <c r="D239" s="8">
        <v>35755</v>
      </c>
      <c r="E239" s="2" t="s">
        <v>13</v>
      </c>
      <c r="F239" s="15" t="b">
        <v>1</v>
      </c>
      <c r="G239" s="10" t="str">
        <f>ランキング1000曲!E563</f>
        <v>初段</v>
      </c>
      <c r="H239" s="11" t="str">
        <f>ランキング1000曲!G563</f>
        <v>https://www.uta-net.com/song/40908/</v>
      </c>
    </row>
    <row r="240" spans="1:8" ht="30" customHeight="1">
      <c r="A240" s="7">
        <v>558</v>
      </c>
      <c r="B240" s="9" t="s">
        <v>364</v>
      </c>
      <c r="C240" s="9" t="s">
        <v>365</v>
      </c>
      <c r="D240" s="8">
        <v>39057</v>
      </c>
      <c r="E240" s="2" t="s">
        <v>13</v>
      </c>
      <c r="F240" s="15" t="b">
        <v>0</v>
      </c>
      <c r="G240" s="10" t="str">
        <f>ランキング1000曲!E564</f>
        <v>初段</v>
      </c>
      <c r="H240" s="11" t="str">
        <f>ランキング1000曲!G564</f>
        <v>https://www.uta-net.com/song/1127/</v>
      </c>
    </row>
    <row r="241" spans="1:8" ht="30" customHeight="1">
      <c r="A241" s="7">
        <v>560</v>
      </c>
      <c r="B241" s="9" t="s">
        <v>366</v>
      </c>
      <c r="C241" s="9" t="s">
        <v>25</v>
      </c>
      <c r="D241" s="8">
        <v>38364</v>
      </c>
      <c r="E241" s="2" t="s">
        <v>13</v>
      </c>
      <c r="F241" s="15" t="b">
        <v>0</v>
      </c>
      <c r="G241" s="10" t="str">
        <f>ランキング1000曲!E566</f>
        <v>初段</v>
      </c>
      <c r="H241" s="11" t="str">
        <f>ランキング1000曲!G566</f>
        <v>https://www.uta-net.com/song/24757/</v>
      </c>
    </row>
    <row r="242" spans="1:8" ht="30" customHeight="1">
      <c r="A242" s="7">
        <v>561</v>
      </c>
      <c r="B242" s="9" t="s">
        <v>367</v>
      </c>
      <c r="C242" s="9" t="s">
        <v>368</v>
      </c>
      <c r="D242" s="8">
        <v>39680</v>
      </c>
      <c r="E242" s="2" t="s">
        <v>13</v>
      </c>
      <c r="F242" s="15" t="b">
        <v>0</v>
      </c>
      <c r="G242" s="10" t="str">
        <f>ランキング1000曲!E567</f>
        <v>初段</v>
      </c>
      <c r="H242" s="11" t="str">
        <f>ランキング1000曲!G567</f>
        <v>https://www.uta-net.com/song/69942/</v>
      </c>
    </row>
    <row r="243" spans="1:8" ht="30" customHeight="1">
      <c r="A243" s="7">
        <v>563</v>
      </c>
      <c r="B243" s="9" t="s">
        <v>369</v>
      </c>
      <c r="C243" s="9" t="s">
        <v>19</v>
      </c>
      <c r="D243" s="8">
        <v>34486</v>
      </c>
      <c r="E243" s="2" t="s">
        <v>13</v>
      </c>
      <c r="F243" s="15" t="b">
        <v>1</v>
      </c>
      <c r="G243" s="10" t="str">
        <f>ランキング1000曲!E569</f>
        <v>初段</v>
      </c>
      <c r="H243" s="11" t="str">
        <f>ランキング1000曲!G569</f>
        <v>https://www.uta-net.com/song/7632/</v>
      </c>
    </row>
    <row r="244" spans="1:8" ht="30" customHeight="1">
      <c r="A244" s="7">
        <v>566</v>
      </c>
      <c r="B244" s="9" t="s">
        <v>370</v>
      </c>
      <c r="C244" s="9" t="s">
        <v>264</v>
      </c>
      <c r="D244" s="8">
        <v>38392</v>
      </c>
      <c r="E244" s="2" t="s">
        <v>13</v>
      </c>
      <c r="F244" s="15" t="b">
        <v>1</v>
      </c>
      <c r="G244" s="10" t="str">
        <f>ランキング1000曲!E572</f>
        <v>初段</v>
      </c>
      <c r="H244" s="11" t="str">
        <f>ランキング1000曲!G572</f>
        <v>https://www.uta-net.com/song/24311/</v>
      </c>
    </row>
    <row r="245" spans="1:8" ht="30" customHeight="1">
      <c r="A245" s="7">
        <v>567</v>
      </c>
      <c r="B245" s="9" t="s">
        <v>371</v>
      </c>
      <c r="C245" s="9" t="s">
        <v>86</v>
      </c>
      <c r="D245" s="8">
        <v>39862</v>
      </c>
      <c r="E245" s="2" t="s">
        <v>13</v>
      </c>
      <c r="F245" s="15" t="b">
        <v>0</v>
      </c>
      <c r="G245" s="10" t="str">
        <f>ランキング1000曲!E573</f>
        <v>初段</v>
      </c>
      <c r="H245" s="11" t="str">
        <f>ランキング1000曲!G573</f>
        <v>https://www.uta-net.com/song/75768/</v>
      </c>
    </row>
    <row r="246" spans="1:8" ht="30" customHeight="1">
      <c r="A246" s="7">
        <v>572</v>
      </c>
      <c r="B246" s="9" t="s">
        <v>372</v>
      </c>
      <c r="C246" s="9" t="s">
        <v>328</v>
      </c>
      <c r="D246" s="8">
        <v>36824</v>
      </c>
      <c r="E246" s="2" t="s">
        <v>13</v>
      </c>
      <c r="F246" s="15" t="b">
        <v>1</v>
      </c>
      <c r="G246" s="10" t="str">
        <f>ランキング1000曲!E578</f>
        <v>初段</v>
      </c>
      <c r="H246" s="11" t="str">
        <f>ランキング1000曲!G578</f>
        <v>https://www.uta-net.com/song/12633/</v>
      </c>
    </row>
    <row r="247" spans="1:8" ht="30" customHeight="1">
      <c r="A247" s="7">
        <v>574</v>
      </c>
      <c r="B247" s="9" t="s">
        <v>373</v>
      </c>
      <c r="C247" s="9" t="s">
        <v>351</v>
      </c>
      <c r="D247" s="8">
        <v>32470</v>
      </c>
      <c r="E247" s="2" t="s">
        <v>13</v>
      </c>
      <c r="F247" s="15" t="b">
        <v>1</v>
      </c>
      <c r="G247" s="10" t="str">
        <f>ランキング1000曲!E580</f>
        <v>初段</v>
      </c>
      <c r="H247" s="11" t="str">
        <f>ランキング1000曲!G580</f>
        <v>https://www.uta-net.com/song/3315/</v>
      </c>
    </row>
    <row r="248" spans="1:8" ht="30" customHeight="1">
      <c r="A248" s="7">
        <v>576</v>
      </c>
      <c r="B248" s="9" t="s">
        <v>374</v>
      </c>
      <c r="C248" s="9" t="s">
        <v>375</v>
      </c>
      <c r="D248" s="8">
        <v>38910</v>
      </c>
      <c r="E248" s="2" t="s">
        <v>13</v>
      </c>
      <c r="F248" s="15" t="b">
        <v>0</v>
      </c>
      <c r="G248" s="10" t="str">
        <f>ランキング1000曲!E582</f>
        <v>初段</v>
      </c>
      <c r="H248" s="11" t="str">
        <f>ランキング1000曲!G582</f>
        <v>https://www.uta-net.com/song/44075/</v>
      </c>
    </row>
    <row r="249" spans="1:8" ht="30" customHeight="1">
      <c r="A249" s="7">
        <v>577</v>
      </c>
      <c r="B249" s="9" t="s">
        <v>376</v>
      </c>
      <c r="C249" s="9" t="s">
        <v>377</v>
      </c>
      <c r="D249" s="8">
        <v>35648</v>
      </c>
      <c r="E249" s="2" t="s">
        <v>13</v>
      </c>
      <c r="F249" s="15" t="b">
        <v>0</v>
      </c>
      <c r="G249" s="10" t="str">
        <f>ランキング1000曲!E583</f>
        <v>初段</v>
      </c>
      <c r="H249" s="11" t="str">
        <f>ランキング1000曲!G583</f>
        <v>https://www.uta-net.com/song/9879/</v>
      </c>
    </row>
    <row r="250" spans="1:8" ht="30" customHeight="1">
      <c r="A250" s="7">
        <v>579</v>
      </c>
      <c r="B250" s="9" t="s">
        <v>378</v>
      </c>
      <c r="C250" s="9" t="s">
        <v>155</v>
      </c>
      <c r="D250" s="8">
        <v>39890</v>
      </c>
      <c r="E250" s="2" t="s">
        <v>13</v>
      </c>
      <c r="F250" s="15" t="b">
        <v>0</v>
      </c>
      <c r="G250" s="10" t="str">
        <f>ランキング1000曲!E585</f>
        <v>初段</v>
      </c>
      <c r="H250" s="11" t="str">
        <f>ランキング1000曲!G585</f>
        <v>https://www.uta-net.com/song/76632/</v>
      </c>
    </row>
    <row r="251" spans="1:8" ht="30" customHeight="1">
      <c r="A251" s="7">
        <v>581</v>
      </c>
      <c r="B251" s="9" t="s">
        <v>379</v>
      </c>
      <c r="C251" s="9" t="s">
        <v>380</v>
      </c>
      <c r="D251" s="8">
        <v>39820</v>
      </c>
      <c r="E251" s="2" t="s">
        <v>13</v>
      </c>
      <c r="F251" s="15" t="b">
        <v>0</v>
      </c>
      <c r="G251" s="10" t="str">
        <f>ランキング1000曲!E587</f>
        <v>初段</v>
      </c>
      <c r="H251" s="11" t="str">
        <f>ランキング1000曲!G587</f>
        <v>https://www.uta-net.com/song/74305/</v>
      </c>
    </row>
    <row r="252" spans="1:8" ht="30" customHeight="1">
      <c r="A252" s="7">
        <v>582</v>
      </c>
      <c r="B252" s="9" t="s">
        <v>381</v>
      </c>
      <c r="C252" s="9" t="s">
        <v>382</v>
      </c>
      <c r="D252" s="8">
        <v>37034</v>
      </c>
      <c r="E252" s="2" t="s">
        <v>13</v>
      </c>
      <c r="F252" s="15" t="b">
        <v>0</v>
      </c>
      <c r="G252" s="10" t="str">
        <f>ランキング1000曲!E588</f>
        <v>初段</v>
      </c>
      <c r="H252" s="11" t="str">
        <f>ランキング1000曲!G588</f>
        <v>https://www.uta-net.com/song/13244/</v>
      </c>
    </row>
    <row r="253" spans="1:8" ht="30" customHeight="1">
      <c r="A253" s="7">
        <v>583</v>
      </c>
      <c r="B253" s="9" t="s">
        <v>383</v>
      </c>
      <c r="C253" s="9" t="s">
        <v>384</v>
      </c>
      <c r="D253" s="8">
        <v>36796</v>
      </c>
      <c r="E253" s="2" t="s">
        <v>13</v>
      </c>
      <c r="F253" s="15" t="b">
        <v>1</v>
      </c>
      <c r="G253" s="10" t="str">
        <f>ランキング1000曲!E589</f>
        <v>初段</v>
      </c>
      <c r="H253" s="11" t="str">
        <f>ランキング1000曲!G589</f>
        <v>https://www.uta-net.com/song/12540/</v>
      </c>
    </row>
    <row r="254" spans="1:8" ht="30" customHeight="1">
      <c r="A254" s="7">
        <v>584</v>
      </c>
      <c r="B254" s="9" t="s">
        <v>385</v>
      </c>
      <c r="C254" s="9" t="s">
        <v>47</v>
      </c>
      <c r="D254" s="8">
        <v>38763</v>
      </c>
      <c r="E254" s="2" t="s">
        <v>13</v>
      </c>
      <c r="F254" s="15" t="b">
        <v>0</v>
      </c>
      <c r="G254" s="10" t="str">
        <f>ランキング1000曲!E590</f>
        <v>初段</v>
      </c>
      <c r="H254" s="11" t="str">
        <f>ランキング1000曲!G590</f>
        <v>https://www.uta-net.com/song/37104/</v>
      </c>
    </row>
    <row r="255" spans="1:8" ht="30" customHeight="1">
      <c r="A255" s="7">
        <v>585</v>
      </c>
      <c r="B255" s="9" t="s">
        <v>386</v>
      </c>
      <c r="C255" s="9" t="s">
        <v>387</v>
      </c>
      <c r="D255" s="8">
        <v>36222</v>
      </c>
      <c r="E255" s="2" t="s">
        <v>13</v>
      </c>
      <c r="F255" s="15" t="b">
        <v>0</v>
      </c>
      <c r="G255" s="10" t="str">
        <f>ランキング1000曲!E591</f>
        <v>初段</v>
      </c>
      <c r="H255" s="11" t="str">
        <f>ランキング1000曲!G591</f>
        <v>https://www.uta-net.com/song/11427/</v>
      </c>
    </row>
    <row r="256" spans="1:8" ht="30" customHeight="1">
      <c r="A256" s="7">
        <v>586</v>
      </c>
      <c r="B256" s="9" t="s">
        <v>388</v>
      </c>
      <c r="C256" s="9" t="s">
        <v>27</v>
      </c>
      <c r="D256" s="8">
        <v>38196</v>
      </c>
      <c r="E256" s="2" t="s">
        <v>13</v>
      </c>
      <c r="F256" s="15" t="b">
        <v>1</v>
      </c>
      <c r="G256" s="10" t="str">
        <f>ランキング1000曲!E592</f>
        <v>初段</v>
      </c>
      <c r="H256" s="11" t="str">
        <f>ランキング1000曲!G592</f>
        <v>https://www.uta-net.com/song/12172/</v>
      </c>
    </row>
    <row r="257" spans="1:8" ht="30" customHeight="1">
      <c r="A257" s="7">
        <v>587</v>
      </c>
      <c r="B257" s="9" t="s">
        <v>389</v>
      </c>
      <c r="C257" s="9" t="s">
        <v>29</v>
      </c>
      <c r="D257" s="8">
        <v>38987</v>
      </c>
      <c r="E257" s="2" t="s">
        <v>13</v>
      </c>
      <c r="F257" s="15" t="b">
        <v>0</v>
      </c>
      <c r="G257" s="10" t="str">
        <f>ランキング1000曲!E593</f>
        <v>初段</v>
      </c>
      <c r="H257" s="11" t="str">
        <f>ランキング1000曲!G593</f>
        <v>https://www.uta-net.com/song/11022/</v>
      </c>
    </row>
    <row r="258" spans="1:8" ht="30" customHeight="1">
      <c r="A258" s="7">
        <v>588</v>
      </c>
      <c r="B258" s="9" t="s">
        <v>390</v>
      </c>
      <c r="C258" s="9" t="s">
        <v>391</v>
      </c>
      <c r="D258" s="8">
        <v>38903</v>
      </c>
      <c r="E258" s="2" t="s">
        <v>13</v>
      </c>
      <c r="F258" s="15" t="b">
        <v>0</v>
      </c>
      <c r="G258" s="10" t="str">
        <f>ランキング1000曲!E594</f>
        <v>初段</v>
      </c>
      <c r="H258" s="11" t="str">
        <f>ランキング1000曲!G594</f>
        <v>https://www.uta-net.com/song/44143/</v>
      </c>
    </row>
    <row r="259" spans="1:8" ht="30" customHeight="1">
      <c r="A259" s="7">
        <v>589</v>
      </c>
      <c r="B259" s="9" t="s">
        <v>392</v>
      </c>
      <c r="C259" s="9" t="s">
        <v>393</v>
      </c>
      <c r="D259" s="8">
        <v>35480</v>
      </c>
      <c r="E259" s="2" t="s">
        <v>13</v>
      </c>
      <c r="F259" s="15" t="b">
        <v>1</v>
      </c>
      <c r="G259" s="10" t="str">
        <f>ランキング1000曲!E595</f>
        <v>初段</v>
      </c>
      <c r="H259" s="11" t="str">
        <f>ランキング1000曲!G595</f>
        <v>https://www.uta-net.com/song/9574/</v>
      </c>
    </row>
    <row r="260" spans="1:8" ht="30" customHeight="1">
      <c r="A260" s="7">
        <v>590</v>
      </c>
      <c r="B260" s="9" t="s">
        <v>394</v>
      </c>
      <c r="C260" s="9" t="s">
        <v>395</v>
      </c>
      <c r="D260" s="8">
        <v>39218</v>
      </c>
      <c r="E260" s="2" t="s">
        <v>13</v>
      </c>
      <c r="F260" s="15" t="b">
        <v>0</v>
      </c>
      <c r="G260" s="10" t="str">
        <f>ランキング1000曲!E596</f>
        <v>初段</v>
      </c>
      <c r="H260" s="11" t="str">
        <f>ランキング1000曲!G596</f>
        <v>https://www.uta-net.com/song/4861/</v>
      </c>
    </row>
    <row r="261" spans="1:8" ht="30" customHeight="1">
      <c r="A261" s="7">
        <v>591</v>
      </c>
      <c r="B261" s="9" t="s">
        <v>396</v>
      </c>
      <c r="C261" s="9" t="s">
        <v>19</v>
      </c>
      <c r="D261" s="8">
        <v>39792</v>
      </c>
      <c r="E261" s="2" t="s">
        <v>13</v>
      </c>
      <c r="F261" s="15" t="b">
        <v>1</v>
      </c>
      <c r="G261" s="10" t="str">
        <f>ランキング1000曲!E597</f>
        <v>初段</v>
      </c>
      <c r="H261" s="11" t="str">
        <f>ランキング1000曲!G597</f>
        <v>https://www.uta-net.com/song/73972/</v>
      </c>
    </row>
    <row r="262" spans="1:8" ht="30" customHeight="1">
      <c r="A262" s="7">
        <v>592</v>
      </c>
      <c r="B262" s="9" t="s">
        <v>397</v>
      </c>
      <c r="C262" s="9" t="s">
        <v>50</v>
      </c>
      <c r="D262" s="8">
        <v>39099</v>
      </c>
      <c r="E262" s="2" t="s">
        <v>13</v>
      </c>
      <c r="F262" s="15" t="b">
        <v>0</v>
      </c>
      <c r="G262" s="10" t="str">
        <f>ランキング1000曲!E598</f>
        <v>初段</v>
      </c>
      <c r="H262" s="11" t="str">
        <f>ランキング1000曲!G598</f>
        <v>https://www.uta-net.com/song/51128/</v>
      </c>
    </row>
    <row r="263" spans="1:8" ht="30" customHeight="1">
      <c r="A263" s="7">
        <v>593</v>
      </c>
      <c r="B263" s="9" t="s">
        <v>398</v>
      </c>
      <c r="C263" s="9" t="s">
        <v>100</v>
      </c>
      <c r="D263" s="8">
        <v>39281</v>
      </c>
      <c r="E263" s="2" t="s">
        <v>13</v>
      </c>
      <c r="F263" s="15" t="b">
        <v>0</v>
      </c>
      <c r="G263" s="10" t="str">
        <f>ランキング1000曲!E599</f>
        <v>初段</v>
      </c>
      <c r="H263" s="11" t="str">
        <f>ランキング1000曲!G599</f>
        <v>https://www.uta-net.com/song/54998/</v>
      </c>
    </row>
    <row r="264" spans="1:8" ht="30" customHeight="1">
      <c r="A264" s="7">
        <v>594</v>
      </c>
      <c r="B264" s="9" t="s">
        <v>399</v>
      </c>
      <c r="C264" s="9" t="s">
        <v>400</v>
      </c>
      <c r="D264" s="8">
        <v>38756</v>
      </c>
      <c r="E264" s="2" t="s">
        <v>13</v>
      </c>
      <c r="F264" s="15" t="b">
        <v>1</v>
      </c>
      <c r="G264" s="10" t="str">
        <f>ランキング1000曲!E600</f>
        <v>初段</v>
      </c>
      <c r="H264" s="11" t="str">
        <f>ランキング1000曲!G600</f>
        <v>https://www.uta-net.com/song/3328/</v>
      </c>
    </row>
    <row r="265" spans="1:8" ht="30" customHeight="1">
      <c r="A265" s="7">
        <v>599</v>
      </c>
      <c r="B265" s="9" t="s">
        <v>401</v>
      </c>
      <c r="C265" s="9" t="s">
        <v>47</v>
      </c>
      <c r="D265" s="8">
        <v>38763</v>
      </c>
      <c r="E265" s="2" t="s">
        <v>13</v>
      </c>
      <c r="F265" s="15" t="b">
        <v>0</v>
      </c>
      <c r="G265" s="10" t="str">
        <f>ランキング1000曲!E605</f>
        <v>初段</v>
      </c>
      <c r="H265" s="11" t="str">
        <f>ランキング1000曲!G605</f>
        <v>https://www.uta-net.com/song/37111/</v>
      </c>
    </row>
    <row r="266" spans="1:8" ht="30" customHeight="1">
      <c r="A266" s="7">
        <v>603</v>
      </c>
      <c r="B266" s="9" t="s">
        <v>402</v>
      </c>
      <c r="C266" s="9" t="s">
        <v>214</v>
      </c>
      <c r="D266" s="8">
        <v>32852</v>
      </c>
      <c r="E266" s="2" t="s">
        <v>13</v>
      </c>
      <c r="F266" s="15" t="b">
        <v>0</v>
      </c>
      <c r="G266" s="10" t="str">
        <f>ランキング1000曲!E609</f>
        <v>二段</v>
      </c>
      <c r="H266" s="11" t="str">
        <f>ランキング1000曲!G609</f>
        <v>https://www.uta-net.com/song/1420/</v>
      </c>
    </row>
    <row r="267" spans="1:8" ht="30" customHeight="1">
      <c r="A267" s="7">
        <v>604</v>
      </c>
      <c r="B267" s="9" t="s">
        <v>403</v>
      </c>
      <c r="C267" s="9" t="s">
        <v>404</v>
      </c>
      <c r="D267" s="8">
        <v>37006</v>
      </c>
      <c r="E267" s="2" t="s">
        <v>13</v>
      </c>
      <c r="F267" s="15" t="b">
        <v>1</v>
      </c>
      <c r="G267" s="10" t="str">
        <f>ランキング1000曲!E610</f>
        <v>二段</v>
      </c>
      <c r="H267" s="11" t="str">
        <f>ランキング1000曲!G610</f>
        <v>https://www.uta-net.com/song/12626/</v>
      </c>
    </row>
    <row r="268" spans="1:8" ht="30" customHeight="1">
      <c r="A268" s="7">
        <v>606</v>
      </c>
      <c r="B268" s="9" t="s">
        <v>405</v>
      </c>
      <c r="C268" s="9" t="s">
        <v>406</v>
      </c>
      <c r="D268" s="8">
        <v>34031</v>
      </c>
      <c r="E268" s="2" t="s">
        <v>13</v>
      </c>
      <c r="F268" s="15" t="b">
        <v>1</v>
      </c>
      <c r="G268" s="10" t="str">
        <f>ランキング1000曲!E612</f>
        <v>二段</v>
      </c>
      <c r="H268" s="11" t="str">
        <f>ランキング1000曲!G612</f>
        <v>https://www.uta-net.com/song/4558/</v>
      </c>
    </row>
    <row r="269" spans="1:8" ht="30" customHeight="1">
      <c r="A269" s="7">
        <v>607</v>
      </c>
      <c r="B269" s="9" t="s">
        <v>407</v>
      </c>
      <c r="C269" s="9" t="s">
        <v>400</v>
      </c>
      <c r="D269" s="8">
        <v>32198</v>
      </c>
      <c r="E269" s="2" t="s">
        <v>13</v>
      </c>
      <c r="F269" s="15" t="b">
        <v>0</v>
      </c>
      <c r="G269" s="10" t="str">
        <f>ランキング1000曲!E613</f>
        <v>二段</v>
      </c>
      <c r="H269" s="11" t="str">
        <f>ランキング1000曲!G613</f>
        <v>https://www.uta-net.com/song/1432/</v>
      </c>
    </row>
    <row r="270" spans="1:8" ht="30" customHeight="1">
      <c r="A270" s="7">
        <v>609</v>
      </c>
      <c r="B270" s="9" t="s">
        <v>408</v>
      </c>
      <c r="C270" s="9" t="s">
        <v>409</v>
      </c>
      <c r="D270" s="8">
        <v>38840</v>
      </c>
      <c r="E270" s="2" t="s">
        <v>13</v>
      </c>
      <c r="F270" s="15" t="b">
        <v>0</v>
      </c>
      <c r="G270" s="10" t="str">
        <f>ランキング1000曲!E615</f>
        <v>二段</v>
      </c>
      <c r="H270" s="11" t="str">
        <f>ランキング1000曲!G615</f>
        <v>https://www.uta-net.com/song/38465/</v>
      </c>
    </row>
    <row r="271" spans="1:8" ht="30" customHeight="1">
      <c r="A271" s="7">
        <v>610</v>
      </c>
      <c r="B271" s="9" t="s">
        <v>410</v>
      </c>
      <c r="C271" s="9" t="s">
        <v>404</v>
      </c>
      <c r="D271" s="8">
        <v>39994</v>
      </c>
      <c r="E271" s="2" t="s">
        <v>13</v>
      </c>
      <c r="F271" s="15" t="b">
        <v>0</v>
      </c>
      <c r="G271" s="10" t="str">
        <f>ランキング1000曲!E616</f>
        <v>二段</v>
      </c>
      <c r="H271" s="11" t="str">
        <f>ランキング1000曲!G616</f>
        <v>https://www.uta-net.com/song/81111/</v>
      </c>
    </row>
    <row r="272" spans="1:8" ht="30" customHeight="1">
      <c r="A272" s="7">
        <v>614</v>
      </c>
      <c r="B272" s="9" t="s">
        <v>411</v>
      </c>
      <c r="C272" s="9" t="s">
        <v>412</v>
      </c>
      <c r="D272" s="8">
        <v>38238</v>
      </c>
      <c r="E272" s="2" t="s">
        <v>13</v>
      </c>
      <c r="F272" s="15" t="b">
        <v>0</v>
      </c>
      <c r="G272" s="10" t="str">
        <f>ランキング1000曲!E620</f>
        <v>二段</v>
      </c>
      <c r="H272" s="11" t="str">
        <f>ランキング1000曲!G620</f>
        <v>https://www.uta-net.com/song/20399/</v>
      </c>
    </row>
    <row r="273" spans="1:8" ht="42" customHeight="1">
      <c r="A273" s="7">
        <v>615</v>
      </c>
      <c r="B273" s="9" t="s">
        <v>413</v>
      </c>
      <c r="C273" s="9" t="s">
        <v>67</v>
      </c>
      <c r="D273" s="8">
        <v>38399</v>
      </c>
      <c r="E273" s="2" t="s">
        <v>13</v>
      </c>
      <c r="F273" s="15" t="b">
        <v>0</v>
      </c>
      <c r="G273" s="10" t="str">
        <f>ランキング1000曲!E621</f>
        <v>二段</v>
      </c>
      <c r="H273" s="11" t="str">
        <f>ランキング1000曲!G621</f>
        <v>https://www.uta-net.com/song/24840/</v>
      </c>
    </row>
    <row r="274" spans="1:8" ht="30" customHeight="1">
      <c r="A274" s="7">
        <v>616</v>
      </c>
      <c r="B274" s="9" t="s">
        <v>414</v>
      </c>
      <c r="C274" s="9" t="s">
        <v>91</v>
      </c>
      <c r="D274" s="8">
        <v>35970</v>
      </c>
      <c r="E274" s="2" t="s">
        <v>13</v>
      </c>
      <c r="F274" s="15" t="b">
        <v>0</v>
      </c>
      <c r="G274" s="10" t="str">
        <f>ランキング1000曲!E622</f>
        <v>二段</v>
      </c>
      <c r="H274" s="11" t="str">
        <f>ランキング1000曲!G622</f>
        <v>https://www.uta-net.com/song/10398/</v>
      </c>
    </row>
    <row r="275" spans="1:8" ht="30" customHeight="1">
      <c r="A275" s="7">
        <v>617</v>
      </c>
      <c r="B275" s="9" t="s">
        <v>415</v>
      </c>
      <c r="C275" s="9" t="s">
        <v>131</v>
      </c>
      <c r="D275" s="8">
        <v>38903</v>
      </c>
      <c r="E275" s="2" t="s">
        <v>13</v>
      </c>
      <c r="F275" s="15" t="b">
        <v>0</v>
      </c>
      <c r="G275" s="10" t="str">
        <f>ランキング1000曲!E623</f>
        <v>二段</v>
      </c>
      <c r="H275" s="11" t="str">
        <f>ランキング1000曲!G623</f>
        <v>https://www.uta-net.com/song/43861/</v>
      </c>
    </row>
    <row r="276" spans="1:8" ht="30" customHeight="1">
      <c r="A276" s="7">
        <v>618</v>
      </c>
      <c r="B276" s="9" t="s">
        <v>416</v>
      </c>
      <c r="C276" s="9" t="s">
        <v>417</v>
      </c>
      <c r="D276" s="8">
        <v>37895</v>
      </c>
      <c r="E276" s="2" t="s">
        <v>13</v>
      </c>
      <c r="F276" s="15" t="b">
        <v>1</v>
      </c>
      <c r="G276" s="10" t="str">
        <f>ランキング1000曲!E624</f>
        <v>二段</v>
      </c>
      <c r="H276" s="11" t="str">
        <f>ランキング1000曲!G624</f>
        <v>https://www.uta-net.com/song/128/</v>
      </c>
    </row>
    <row r="277" spans="1:8" ht="30" customHeight="1">
      <c r="A277" s="7">
        <v>619</v>
      </c>
      <c r="B277" s="9" t="s">
        <v>418</v>
      </c>
      <c r="C277" s="9" t="s">
        <v>280</v>
      </c>
      <c r="D277" s="8">
        <v>32701</v>
      </c>
      <c r="E277" s="2" t="s">
        <v>13</v>
      </c>
      <c r="F277" s="15" t="b">
        <v>0</v>
      </c>
      <c r="G277" s="10" t="str">
        <f>ランキング1000曲!E625</f>
        <v>二段</v>
      </c>
      <c r="H277" s="11" t="str">
        <f>ランキング1000曲!G625</f>
        <v>https://www.uta-net.com/song/15107/</v>
      </c>
    </row>
    <row r="278" spans="1:8" ht="30" customHeight="1">
      <c r="A278" s="7">
        <v>622</v>
      </c>
      <c r="B278" s="9" t="s">
        <v>419</v>
      </c>
      <c r="C278" s="9" t="s">
        <v>83</v>
      </c>
      <c r="D278" s="8">
        <v>36938</v>
      </c>
      <c r="E278" s="2" t="s">
        <v>13</v>
      </c>
      <c r="F278" s="15" t="b">
        <v>1</v>
      </c>
      <c r="G278" s="10" t="str">
        <f>ランキング1000曲!E628</f>
        <v>二段</v>
      </c>
      <c r="H278" s="11" t="str">
        <f>ランキング1000曲!G628</f>
        <v>https://www.uta-net.com/song/12810/</v>
      </c>
    </row>
    <row r="279" spans="1:8" ht="30" customHeight="1">
      <c r="A279" s="7">
        <v>623</v>
      </c>
      <c r="B279" s="9" t="s">
        <v>420</v>
      </c>
      <c r="C279" s="9" t="s">
        <v>153</v>
      </c>
      <c r="D279" s="8">
        <v>36551</v>
      </c>
      <c r="E279" s="2" t="s">
        <v>13</v>
      </c>
      <c r="F279" s="15" t="b">
        <v>0</v>
      </c>
      <c r="G279" s="10" t="str">
        <f>ランキング1000曲!E629</f>
        <v>二段</v>
      </c>
      <c r="H279" s="11" t="str">
        <f>ランキング1000曲!G629</f>
        <v>https://www.uta-net.com/song/12573/</v>
      </c>
    </row>
    <row r="280" spans="1:8" ht="30" customHeight="1">
      <c r="A280" s="7">
        <v>626</v>
      </c>
      <c r="B280" s="9" t="s">
        <v>421</v>
      </c>
      <c r="C280" s="9" t="s">
        <v>83</v>
      </c>
      <c r="D280" s="8">
        <v>36138</v>
      </c>
      <c r="E280" s="2" t="s">
        <v>13</v>
      </c>
      <c r="F280" s="15" t="b">
        <v>0</v>
      </c>
      <c r="G280" s="10" t="str">
        <f>ランキング1000曲!E632</f>
        <v>二段</v>
      </c>
      <c r="H280" s="11" t="str">
        <f>ランキング1000曲!G632</f>
        <v>https://www.uta-net.com/song/10887/</v>
      </c>
    </row>
    <row r="281" spans="1:8" ht="30" customHeight="1">
      <c r="A281" s="7">
        <v>627</v>
      </c>
      <c r="B281" s="9" t="s">
        <v>422</v>
      </c>
      <c r="C281" s="9" t="s">
        <v>423</v>
      </c>
      <c r="D281" s="8">
        <v>39288</v>
      </c>
      <c r="E281" s="2" t="s">
        <v>13</v>
      </c>
      <c r="F281" s="15" t="b">
        <v>1</v>
      </c>
      <c r="G281" s="10" t="str">
        <f>ランキング1000曲!E633</f>
        <v>二段</v>
      </c>
      <c r="H281" s="11" t="str">
        <f>ランキング1000曲!G633</f>
        <v>https://www.uta-net.com/song/64810/</v>
      </c>
    </row>
    <row r="282" spans="1:8" ht="30" customHeight="1">
      <c r="A282" s="7">
        <v>628</v>
      </c>
      <c r="B282" s="9" t="s">
        <v>424</v>
      </c>
      <c r="C282" s="9" t="s">
        <v>45</v>
      </c>
      <c r="D282" s="8">
        <v>38854</v>
      </c>
      <c r="E282" s="2" t="s">
        <v>13</v>
      </c>
      <c r="F282" s="15" t="b">
        <v>0</v>
      </c>
      <c r="G282" s="10" t="str">
        <f>ランキング1000曲!E634</f>
        <v>二段</v>
      </c>
      <c r="H282" s="11" t="str">
        <f>ランキング1000曲!G634</f>
        <v>https://www.uta-net.com/song/42197/</v>
      </c>
    </row>
    <row r="283" spans="1:8" ht="30" customHeight="1">
      <c r="A283" s="7">
        <v>629</v>
      </c>
      <c r="B283" s="9" t="s">
        <v>425</v>
      </c>
      <c r="C283" s="9" t="s">
        <v>426</v>
      </c>
      <c r="D283" s="8">
        <v>38497</v>
      </c>
      <c r="E283" s="2" t="s">
        <v>13</v>
      </c>
      <c r="F283" s="15" t="b">
        <v>0</v>
      </c>
      <c r="G283" s="10" t="str">
        <f>ランキング1000曲!E635</f>
        <v>二段</v>
      </c>
      <c r="H283" s="11" t="str">
        <f>ランキング1000曲!G635</f>
        <v>https://www.uta-net.com/song/443/</v>
      </c>
    </row>
    <row r="284" spans="1:8" ht="30" customHeight="1">
      <c r="A284" s="7">
        <v>632</v>
      </c>
      <c r="B284" s="9" t="s">
        <v>427</v>
      </c>
      <c r="C284" s="9" t="s">
        <v>428</v>
      </c>
      <c r="D284" s="8">
        <v>37316</v>
      </c>
      <c r="E284" s="2" t="s">
        <v>13</v>
      </c>
      <c r="F284" s="15" t="b">
        <v>0</v>
      </c>
      <c r="G284" s="10" t="str">
        <f>ランキング1000曲!E638</f>
        <v>二段</v>
      </c>
      <c r="H284" s="11" t="str">
        <f>ランキング1000曲!G638</f>
        <v>https://www.uta-net.com/song/15586/</v>
      </c>
    </row>
    <row r="285" spans="1:8" ht="30" customHeight="1">
      <c r="A285" s="7">
        <v>633</v>
      </c>
      <c r="B285" s="9" t="s">
        <v>429</v>
      </c>
      <c r="C285" s="9" t="s">
        <v>430</v>
      </c>
      <c r="D285" s="8">
        <v>38586</v>
      </c>
      <c r="E285" s="2" t="s">
        <v>13</v>
      </c>
      <c r="F285" s="15" t="b">
        <v>1</v>
      </c>
      <c r="G285" s="10" t="str">
        <f>ランキング1000曲!E639</f>
        <v>二段</v>
      </c>
      <c r="H285" s="11" t="str">
        <f>ランキング1000曲!G639</f>
        <v>https://www.uta-net.com/song/16279/</v>
      </c>
    </row>
    <row r="286" spans="1:8" ht="30" customHeight="1">
      <c r="A286" s="7">
        <v>635</v>
      </c>
      <c r="B286" s="9" t="s">
        <v>431</v>
      </c>
      <c r="C286" s="9" t="s">
        <v>432</v>
      </c>
      <c r="D286" s="8">
        <v>38435</v>
      </c>
      <c r="E286" s="2" t="s">
        <v>13</v>
      </c>
      <c r="F286" s="15" t="b">
        <v>0</v>
      </c>
      <c r="G286" s="10" t="str">
        <f>ランキング1000曲!E641</f>
        <v>二段</v>
      </c>
      <c r="H286" s="11" t="str">
        <f>ランキング1000曲!G641</f>
        <v>https://www.uta-net.com/song/2819/</v>
      </c>
    </row>
    <row r="287" spans="1:8" ht="30" customHeight="1">
      <c r="A287" s="7">
        <v>639</v>
      </c>
      <c r="B287" s="9" t="s">
        <v>433</v>
      </c>
      <c r="C287" s="9" t="s">
        <v>434</v>
      </c>
      <c r="D287" s="8">
        <v>38399</v>
      </c>
      <c r="E287" s="2" t="s">
        <v>13</v>
      </c>
      <c r="F287" s="15" t="b">
        <v>0</v>
      </c>
      <c r="G287" s="10" t="str">
        <f>ランキング1000曲!E645</f>
        <v>二段</v>
      </c>
      <c r="H287" s="11" t="str">
        <f>ランキング1000曲!G645</f>
        <v>https://www.uta-net.com/song/4296/</v>
      </c>
    </row>
    <row r="288" spans="1:8" ht="30" customHeight="1">
      <c r="A288" s="7">
        <v>643</v>
      </c>
      <c r="B288" s="9" t="s">
        <v>435</v>
      </c>
      <c r="C288" s="9" t="s">
        <v>187</v>
      </c>
      <c r="D288" s="8">
        <v>33399</v>
      </c>
      <c r="E288" s="2" t="s">
        <v>13</v>
      </c>
      <c r="F288" s="15" t="b">
        <v>0</v>
      </c>
      <c r="G288" s="10" t="str">
        <f>ランキング1000曲!E649</f>
        <v>二段</v>
      </c>
      <c r="H288" s="11" t="str">
        <f>ランキング1000曲!G649</f>
        <v>https://www.uta-net.com/song/3326/</v>
      </c>
    </row>
    <row r="289" spans="1:8" ht="42" customHeight="1">
      <c r="A289" s="7">
        <v>646</v>
      </c>
      <c r="B289" s="9" t="s">
        <v>436</v>
      </c>
      <c r="C289" s="9" t="s">
        <v>310</v>
      </c>
      <c r="D289" s="8">
        <v>39757</v>
      </c>
      <c r="E289" s="2" t="s">
        <v>13</v>
      </c>
      <c r="F289" s="15" t="b">
        <v>0</v>
      </c>
      <c r="G289" s="10" t="str">
        <f>ランキング1000曲!E652</f>
        <v>二段</v>
      </c>
      <c r="H289" s="11" t="str">
        <f>ランキング1000曲!G652</f>
        <v>https://www.uta-net.com/song/72268/</v>
      </c>
    </row>
    <row r="290" spans="1:8" ht="42" customHeight="1">
      <c r="A290" s="7">
        <v>655</v>
      </c>
      <c r="B290" s="9" t="s">
        <v>437</v>
      </c>
      <c r="C290" s="9" t="s">
        <v>438</v>
      </c>
      <c r="D290" s="8">
        <v>38203</v>
      </c>
      <c r="E290" s="2" t="s">
        <v>13</v>
      </c>
      <c r="F290" s="15" t="b">
        <v>1</v>
      </c>
      <c r="G290" s="10" t="str">
        <f>ランキング1000曲!E661</f>
        <v>二段</v>
      </c>
      <c r="H290" s="11" t="str">
        <f>ランキング1000曲!G661</f>
        <v>https://www.uta-net.com/song/19544/</v>
      </c>
    </row>
    <row r="291" spans="1:8" ht="30" customHeight="1">
      <c r="A291" s="7">
        <v>656</v>
      </c>
      <c r="B291" s="9" t="s">
        <v>439</v>
      </c>
      <c r="C291" s="9" t="s">
        <v>440</v>
      </c>
      <c r="D291" s="8">
        <v>40156</v>
      </c>
      <c r="E291" s="2" t="s">
        <v>13</v>
      </c>
      <c r="F291" s="15" t="b">
        <v>0</v>
      </c>
      <c r="G291" s="10" t="str">
        <f>ランキング1000曲!E662</f>
        <v>二段</v>
      </c>
      <c r="H291" s="11" t="str">
        <f>ランキング1000曲!G662</f>
        <v>https://www.uta-net.com/song/87276/</v>
      </c>
    </row>
    <row r="292" spans="1:8" ht="30" customHeight="1">
      <c r="A292" s="7">
        <v>657</v>
      </c>
      <c r="B292" s="9" t="s">
        <v>441</v>
      </c>
      <c r="C292" s="9" t="s">
        <v>134</v>
      </c>
      <c r="D292" s="8">
        <v>33947</v>
      </c>
      <c r="E292" s="2" t="s">
        <v>13</v>
      </c>
      <c r="F292" s="15" t="b">
        <v>0</v>
      </c>
      <c r="G292" s="10" t="str">
        <f>ランキング1000曲!E663</f>
        <v>二段</v>
      </c>
      <c r="H292" s="11" t="str">
        <f>ランキング1000曲!G663</f>
        <v>https://www.uta-net.com/song/8030/</v>
      </c>
    </row>
    <row r="293" spans="1:8" ht="30" customHeight="1">
      <c r="A293" s="7">
        <v>662</v>
      </c>
      <c r="B293" s="9" t="s">
        <v>442</v>
      </c>
      <c r="C293" s="9" t="s">
        <v>443</v>
      </c>
      <c r="D293" s="8">
        <v>35355</v>
      </c>
      <c r="E293" s="2" t="s">
        <v>13</v>
      </c>
      <c r="F293" s="15" t="b">
        <v>0</v>
      </c>
      <c r="G293" s="10" t="str">
        <f>ランキング1000曲!E668</f>
        <v>二段</v>
      </c>
      <c r="H293" s="11" t="str">
        <f>ランキング1000曲!G668</f>
        <v>https://www.uta-net.com/song/9407/</v>
      </c>
    </row>
    <row r="294" spans="1:8" ht="30" customHeight="1">
      <c r="A294" s="7">
        <v>664</v>
      </c>
      <c r="B294" s="9" t="s">
        <v>444</v>
      </c>
      <c r="C294" s="9" t="s">
        <v>209</v>
      </c>
      <c r="D294" s="8">
        <v>39967</v>
      </c>
      <c r="E294" s="2" t="s">
        <v>13</v>
      </c>
      <c r="F294" s="15" t="b">
        <v>0</v>
      </c>
      <c r="G294" s="10" t="str">
        <f>ランキング1000曲!E670</f>
        <v>二段</v>
      </c>
      <c r="H294" s="11" t="str">
        <f>ランキング1000曲!G670</f>
        <v>https://www.uta-net.com/song/79563/</v>
      </c>
    </row>
    <row r="295" spans="1:8" ht="30" customHeight="1">
      <c r="A295" s="7">
        <v>665</v>
      </c>
      <c r="B295" s="9" t="s">
        <v>445</v>
      </c>
      <c r="C295" s="9" t="s">
        <v>65</v>
      </c>
      <c r="D295" s="8">
        <v>25569</v>
      </c>
      <c r="E295" s="2" t="s">
        <v>13</v>
      </c>
      <c r="F295" s="15" t="b">
        <v>0</v>
      </c>
      <c r="G295" s="10" t="str">
        <f>ランキング1000曲!E671</f>
        <v>二段</v>
      </c>
      <c r="H295" s="11" t="str">
        <f>ランキング1000曲!G671</f>
        <v>https://www.uta-net.com/song/117627/</v>
      </c>
    </row>
    <row r="296" spans="1:8" ht="30" customHeight="1">
      <c r="A296" s="7">
        <v>666</v>
      </c>
      <c r="B296" s="9" t="s">
        <v>446</v>
      </c>
      <c r="C296" s="9" t="s">
        <v>29</v>
      </c>
      <c r="D296" s="8">
        <v>38987</v>
      </c>
      <c r="E296" s="2" t="s">
        <v>13</v>
      </c>
      <c r="F296" s="15" t="b">
        <v>0</v>
      </c>
      <c r="G296" s="10" t="str">
        <f>ランキング1000曲!E672</f>
        <v>二段</v>
      </c>
      <c r="H296" s="11" t="str">
        <f>ランキング1000曲!G672</f>
        <v>https://www.uta-net.com/song/13990/</v>
      </c>
    </row>
    <row r="297" spans="1:8" ht="30" customHeight="1">
      <c r="A297" s="7">
        <v>667</v>
      </c>
      <c r="B297" s="9" t="s">
        <v>447</v>
      </c>
      <c r="C297" s="9" t="s">
        <v>448</v>
      </c>
      <c r="D297" s="8">
        <v>35135</v>
      </c>
      <c r="E297" s="2" t="s">
        <v>13</v>
      </c>
      <c r="F297" s="15" t="b">
        <v>1</v>
      </c>
      <c r="G297" s="10" t="str">
        <f>ランキング1000曲!E673</f>
        <v>二段</v>
      </c>
      <c r="H297" s="11" t="str">
        <f>ランキング1000曲!G673</f>
        <v>https://www.uta-net.com/song/9063/</v>
      </c>
    </row>
    <row r="298" spans="1:8" ht="30" customHeight="1">
      <c r="A298" s="7">
        <v>668</v>
      </c>
      <c r="B298" s="9" t="s">
        <v>449</v>
      </c>
      <c r="C298" s="9" t="s">
        <v>47</v>
      </c>
      <c r="D298" s="8">
        <v>38679</v>
      </c>
      <c r="E298" s="2" t="s">
        <v>13</v>
      </c>
      <c r="F298" s="15" t="b">
        <v>0</v>
      </c>
      <c r="G298" s="10" t="str">
        <f>ランキング1000曲!E674</f>
        <v>二段</v>
      </c>
      <c r="H298" s="11" t="str">
        <f>ランキング1000曲!G674</f>
        <v>https://www.uta-net.com/song/35439/</v>
      </c>
    </row>
    <row r="299" spans="1:8" ht="30" customHeight="1">
      <c r="A299" s="7">
        <v>670</v>
      </c>
      <c r="B299" s="9" t="s">
        <v>450</v>
      </c>
      <c r="C299" s="9" t="s">
        <v>21</v>
      </c>
      <c r="D299" s="8">
        <v>34468</v>
      </c>
      <c r="E299" s="2" t="s">
        <v>13</v>
      </c>
      <c r="F299" s="15" t="b">
        <v>1</v>
      </c>
      <c r="G299" s="10" t="str">
        <f>ランキング1000曲!E676</f>
        <v>二段</v>
      </c>
      <c r="H299" s="11" t="str">
        <f>ランキング1000曲!G676</f>
        <v>https://www.uta-net.com/song/5119/</v>
      </c>
    </row>
    <row r="300" spans="1:8" ht="30" customHeight="1">
      <c r="A300" s="7">
        <v>671</v>
      </c>
      <c r="B300" s="9" t="s">
        <v>451</v>
      </c>
      <c r="C300" s="9" t="s">
        <v>45</v>
      </c>
      <c r="D300" s="8">
        <v>39134</v>
      </c>
      <c r="E300" s="2" t="s">
        <v>13</v>
      </c>
      <c r="F300" s="15" t="b">
        <v>0</v>
      </c>
      <c r="G300" s="10" t="str">
        <f>ランキング1000曲!E677</f>
        <v>二段</v>
      </c>
      <c r="H300" s="11" t="str">
        <f>ランキング1000曲!G677</f>
        <v>https://www.uta-net.com/song/54897/</v>
      </c>
    </row>
    <row r="301" spans="1:8" ht="30" customHeight="1">
      <c r="A301" s="7">
        <v>672</v>
      </c>
      <c r="B301" s="9" t="s">
        <v>452</v>
      </c>
      <c r="C301" s="9" t="s">
        <v>29</v>
      </c>
      <c r="D301" s="8">
        <v>38847</v>
      </c>
      <c r="E301" s="2" t="s">
        <v>13</v>
      </c>
      <c r="F301" s="15" t="b">
        <v>0</v>
      </c>
      <c r="G301" s="10" t="str">
        <f>ランキング1000曲!E678</f>
        <v>二段</v>
      </c>
      <c r="H301" s="11" t="str">
        <f>ランキング1000曲!G678</f>
        <v>https://www.uta-net.com/song/13974/</v>
      </c>
    </row>
    <row r="302" spans="1:8" ht="30" customHeight="1">
      <c r="A302" s="7">
        <v>673</v>
      </c>
      <c r="B302" s="9" t="s">
        <v>453</v>
      </c>
      <c r="C302" s="9" t="s">
        <v>45</v>
      </c>
      <c r="D302" s="8">
        <v>36838</v>
      </c>
      <c r="E302" s="2" t="s">
        <v>13</v>
      </c>
      <c r="F302" s="15" t="b">
        <v>1</v>
      </c>
      <c r="G302" s="10" t="str">
        <f>ランキング1000曲!E679</f>
        <v>二段</v>
      </c>
      <c r="H302" s="11" t="str">
        <f>ランキング1000曲!G679</f>
        <v>https://www.uta-net.com/song/12645/</v>
      </c>
    </row>
    <row r="303" spans="1:8" ht="30" customHeight="1">
      <c r="A303" s="7">
        <v>674</v>
      </c>
      <c r="B303" s="9" t="s">
        <v>454</v>
      </c>
      <c r="C303" s="9" t="s">
        <v>19</v>
      </c>
      <c r="D303" s="8">
        <v>33939</v>
      </c>
      <c r="E303" s="2" t="s">
        <v>13</v>
      </c>
      <c r="F303" s="15" t="b">
        <v>0</v>
      </c>
      <c r="G303" s="10" t="str">
        <f>ランキング1000曲!E680</f>
        <v>二段</v>
      </c>
      <c r="H303" s="11" t="str">
        <f>ランキング1000曲!G680</f>
        <v>https://www.uta-net.com/song/2951/</v>
      </c>
    </row>
    <row r="304" spans="1:8" ht="42" customHeight="1">
      <c r="A304" s="7">
        <v>676</v>
      </c>
      <c r="B304" s="9" t="s">
        <v>455</v>
      </c>
      <c r="C304" s="9" t="s">
        <v>456</v>
      </c>
      <c r="D304" s="8">
        <v>33800</v>
      </c>
      <c r="E304" s="2" t="s">
        <v>13</v>
      </c>
      <c r="F304" s="15" t="b">
        <v>0</v>
      </c>
      <c r="G304" s="10" t="str">
        <f>ランキング1000曲!E682</f>
        <v>二段</v>
      </c>
      <c r="H304" s="11" t="str">
        <f>ランキング1000曲!G682</f>
        <v>https://www.uta-net.com/song/2899/</v>
      </c>
    </row>
    <row r="305" spans="1:8" ht="30" customHeight="1">
      <c r="A305" s="7">
        <v>679</v>
      </c>
      <c r="B305" s="9" t="s">
        <v>457</v>
      </c>
      <c r="C305" s="9" t="s">
        <v>458</v>
      </c>
      <c r="D305" s="8">
        <v>33684</v>
      </c>
      <c r="E305" s="2" t="s">
        <v>13</v>
      </c>
      <c r="F305" s="15" t="b">
        <v>0</v>
      </c>
      <c r="G305" s="10" t="str">
        <f>ランキング1000曲!E685</f>
        <v>二段</v>
      </c>
      <c r="H305" s="11" t="str">
        <f>ランキング1000曲!G685</f>
        <v>https://www.uta-net.com/song/5649/</v>
      </c>
    </row>
    <row r="306" spans="1:8" ht="30" customHeight="1">
      <c r="A306" s="7">
        <v>682</v>
      </c>
      <c r="B306" s="9" t="s">
        <v>459</v>
      </c>
      <c r="C306" s="9" t="s">
        <v>153</v>
      </c>
      <c r="D306" s="8">
        <v>36047</v>
      </c>
      <c r="E306" s="2" t="s">
        <v>13</v>
      </c>
      <c r="F306" s="15" t="b">
        <v>0</v>
      </c>
      <c r="G306" s="10" t="str">
        <f>ランキング1000曲!E688</f>
        <v>二段</v>
      </c>
      <c r="H306" s="11" t="str">
        <f>ランキング1000曲!G688</f>
        <v>https://www.uta-net.com/song/11561/</v>
      </c>
    </row>
    <row r="307" spans="1:8" ht="30" customHeight="1">
      <c r="A307" s="7">
        <v>683</v>
      </c>
      <c r="B307" s="9" t="s">
        <v>460</v>
      </c>
      <c r="C307" s="9" t="s">
        <v>461</v>
      </c>
      <c r="D307" s="8">
        <v>35114</v>
      </c>
      <c r="E307" s="2" t="s">
        <v>13</v>
      </c>
      <c r="F307" s="15" t="b">
        <v>1</v>
      </c>
      <c r="G307" s="10" t="str">
        <f>ランキング1000曲!E689</f>
        <v>二段</v>
      </c>
      <c r="H307" s="11" t="str">
        <f>ランキング1000曲!G689</f>
        <v>https://www.uta-net.com/song/8953/</v>
      </c>
    </row>
    <row r="308" spans="1:8" ht="30" customHeight="1">
      <c r="A308" s="7">
        <v>684</v>
      </c>
      <c r="B308" s="9" t="s">
        <v>462</v>
      </c>
      <c r="C308" s="9" t="s">
        <v>83</v>
      </c>
      <c r="D308" s="8">
        <v>39526</v>
      </c>
      <c r="E308" s="2" t="s">
        <v>13</v>
      </c>
      <c r="F308" s="15" t="b">
        <v>0</v>
      </c>
      <c r="G308" s="10" t="str">
        <f>ランキング1000曲!E690</f>
        <v>二段</v>
      </c>
      <c r="H308" s="11" t="str">
        <f>ランキング1000曲!G690</f>
        <v>https://www.uta-net.com/song/63398/</v>
      </c>
    </row>
    <row r="309" spans="1:8" ht="30" customHeight="1">
      <c r="A309" s="7">
        <v>686</v>
      </c>
      <c r="B309" s="9" t="s">
        <v>463</v>
      </c>
      <c r="C309" s="9" t="s">
        <v>322</v>
      </c>
      <c r="D309" s="8">
        <v>39771</v>
      </c>
      <c r="E309" s="2" t="s">
        <v>13</v>
      </c>
      <c r="F309" s="15" t="b">
        <v>0</v>
      </c>
      <c r="G309" s="10" t="str">
        <f>ランキング1000曲!E692</f>
        <v>二段</v>
      </c>
      <c r="H309" s="11" t="str">
        <f>ランキング1000曲!G692</f>
        <v>https://www.uta-net.com/song/71036/</v>
      </c>
    </row>
    <row r="310" spans="1:8" ht="30" customHeight="1">
      <c r="A310" s="7">
        <v>689</v>
      </c>
      <c r="B310" s="9" t="s">
        <v>464</v>
      </c>
      <c r="C310" s="9" t="s">
        <v>465</v>
      </c>
      <c r="D310" s="8">
        <v>39239</v>
      </c>
      <c r="E310" s="2" t="s">
        <v>13</v>
      </c>
      <c r="F310" s="15" t="b">
        <v>1</v>
      </c>
      <c r="G310" s="10" t="str">
        <f>ランキング1000曲!E695</f>
        <v>二段</v>
      </c>
      <c r="H310" s="11" t="str">
        <f>ランキング1000曲!G695</f>
        <v>https://www.uta-net.com/song/53981/</v>
      </c>
    </row>
    <row r="311" spans="1:8" ht="42" customHeight="1">
      <c r="A311" s="7">
        <v>690</v>
      </c>
      <c r="B311" s="9" t="s">
        <v>466</v>
      </c>
      <c r="C311" s="9" t="s">
        <v>456</v>
      </c>
      <c r="D311" s="8">
        <v>33800</v>
      </c>
      <c r="E311" s="2" t="s">
        <v>13</v>
      </c>
      <c r="F311" s="15" t="b">
        <v>1</v>
      </c>
      <c r="G311" s="10" t="str">
        <f>ランキング1000曲!E696</f>
        <v>二段</v>
      </c>
      <c r="H311" s="11" t="str">
        <f>ランキング1000曲!G696</f>
        <v>https://www.uta-net.com/song/880/</v>
      </c>
    </row>
    <row r="312" spans="1:8" ht="30" customHeight="1">
      <c r="A312" s="7">
        <v>692</v>
      </c>
      <c r="B312" s="9" t="s">
        <v>467</v>
      </c>
      <c r="C312" s="9" t="s">
        <v>468</v>
      </c>
      <c r="D312" s="8">
        <v>38903</v>
      </c>
      <c r="E312" s="2" t="s">
        <v>13</v>
      </c>
      <c r="F312" s="15" t="b">
        <v>1</v>
      </c>
      <c r="G312" s="10" t="str">
        <f>ランキング1000曲!E698</f>
        <v>二段</v>
      </c>
      <c r="H312" s="11" t="str">
        <f>ランキング1000曲!G698</f>
        <v>https://www.uta-net.com/song/51304/</v>
      </c>
    </row>
    <row r="313" spans="1:8" ht="30" customHeight="1">
      <c r="A313" s="7">
        <v>696</v>
      </c>
      <c r="B313" s="9" t="s">
        <v>469</v>
      </c>
      <c r="C313" s="9" t="s">
        <v>47</v>
      </c>
      <c r="D313" s="8">
        <v>38419</v>
      </c>
      <c r="E313" s="2" t="s">
        <v>13</v>
      </c>
      <c r="F313" s="15" t="b">
        <v>0</v>
      </c>
      <c r="G313" s="10" t="str">
        <f>ランキング1000曲!E702</f>
        <v>二段</v>
      </c>
      <c r="H313" s="11" t="str">
        <f>ランキング1000曲!G702</f>
        <v>https://www.uta-net.com/song/25718/</v>
      </c>
    </row>
    <row r="314" spans="1:8" ht="30" customHeight="1">
      <c r="A314" s="7">
        <v>699</v>
      </c>
      <c r="B314" s="9" t="s">
        <v>470</v>
      </c>
      <c r="C314" s="9" t="s">
        <v>220</v>
      </c>
      <c r="D314" s="8">
        <v>37665</v>
      </c>
      <c r="E314" s="2" t="s">
        <v>13</v>
      </c>
      <c r="F314" s="15" t="b">
        <v>0</v>
      </c>
      <c r="G314" s="10" t="str">
        <f>ランキング1000曲!E705</f>
        <v>二段</v>
      </c>
      <c r="H314" s="11" t="str">
        <f>ランキング1000曲!G705</f>
        <v>https://www.uta-net.com/song/36334/</v>
      </c>
    </row>
    <row r="315" spans="1:8" ht="30" customHeight="1">
      <c r="A315" s="7">
        <v>703</v>
      </c>
      <c r="B315" s="9" t="s">
        <v>471</v>
      </c>
      <c r="C315" s="9" t="s">
        <v>472</v>
      </c>
      <c r="D315" s="8">
        <v>39400</v>
      </c>
      <c r="E315" s="2" t="s">
        <v>13</v>
      </c>
      <c r="F315" s="15" t="b">
        <v>1</v>
      </c>
      <c r="G315" s="10" t="str">
        <f>ランキング1000曲!E709</f>
        <v>三段</v>
      </c>
      <c r="H315" s="11" t="str">
        <f>ランキング1000曲!G709</f>
        <v>https://www.uta-net.com/song/58476/</v>
      </c>
    </row>
    <row r="316" spans="1:8" ht="30" customHeight="1">
      <c r="A316" s="7">
        <v>705</v>
      </c>
      <c r="B316" s="9" t="s">
        <v>473</v>
      </c>
      <c r="C316" s="9" t="s">
        <v>33</v>
      </c>
      <c r="D316" s="8">
        <v>40079</v>
      </c>
      <c r="E316" s="2" t="s">
        <v>13</v>
      </c>
      <c r="F316" s="15" t="b">
        <v>1</v>
      </c>
      <c r="G316" s="10" t="str">
        <f>ランキング1000曲!E711</f>
        <v>三段</v>
      </c>
      <c r="H316" s="11" t="str">
        <f>ランキング1000曲!G711</f>
        <v>https://www.uta-net.com/song/84248/</v>
      </c>
    </row>
    <row r="317" spans="1:8" ht="30" customHeight="1">
      <c r="A317" s="7">
        <v>712</v>
      </c>
      <c r="B317" s="9" t="s">
        <v>474</v>
      </c>
      <c r="C317" s="9" t="s">
        <v>475</v>
      </c>
      <c r="D317" s="8">
        <v>33039</v>
      </c>
      <c r="E317" s="2" t="s">
        <v>13</v>
      </c>
      <c r="F317" s="15" t="b">
        <v>0</v>
      </c>
      <c r="G317" s="10" t="str">
        <f>ランキング1000曲!E718</f>
        <v>三段</v>
      </c>
      <c r="H317" s="11" t="str">
        <f>ランキング1000曲!G718</f>
        <v>https://www.uta-net.com/song/1495/</v>
      </c>
    </row>
    <row r="318" spans="1:8" ht="30" customHeight="1">
      <c r="A318" s="7">
        <v>714</v>
      </c>
      <c r="B318" s="9" t="s">
        <v>476</v>
      </c>
      <c r="C318" s="9" t="s">
        <v>233</v>
      </c>
      <c r="D318" s="8">
        <v>36642</v>
      </c>
      <c r="E318" s="2" t="s">
        <v>13</v>
      </c>
      <c r="F318" s="15" t="b">
        <v>1</v>
      </c>
      <c r="G318" s="10" t="str">
        <f>ランキング1000曲!E720</f>
        <v>三段</v>
      </c>
      <c r="H318" s="11" t="str">
        <f>ランキング1000曲!G720</f>
        <v>https://www.uta-net.com/song/4854/</v>
      </c>
    </row>
    <row r="319" spans="1:8" ht="30" customHeight="1">
      <c r="A319" s="7">
        <v>715</v>
      </c>
      <c r="B319" s="9" t="s">
        <v>477</v>
      </c>
      <c r="C319" s="9" t="s">
        <v>478</v>
      </c>
      <c r="D319" s="8">
        <v>33086</v>
      </c>
      <c r="E319" s="2" t="s">
        <v>13</v>
      </c>
      <c r="F319" s="15" t="b">
        <v>1</v>
      </c>
      <c r="G319" s="10" t="str">
        <f>ランキング1000曲!E721</f>
        <v>三段</v>
      </c>
      <c r="H319" s="11" t="str">
        <f>ランキング1000曲!G721</f>
        <v>https://www.uta-net.com/song/4057/</v>
      </c>
    </row>
    <row r="320" spans="1:8" ht="30" customHeight="1">
      <c r="A320" s="7">
        <v>717</v>
      </c>
      <c r="B320" s="9" t="s">
        <v>479</v>
      </c>
      <c r="C320" s="9" t="s">
        <v>480</v>
      </c>
      <c r="D320" s="8">
        <v>32752</v>
      </c>
      <c r="E320" s="2" t="s">
        <v>13</v>
      </c>
      <c r="F320" s="15" t="b">
        <v>0</v>
      </c>
      <c r="G320" s="10" t="str">
        <f>ランキング1000曲!E723</f>
        <v>三段</v>
      </c>
      <c r="H320" s="11" t="str">
        <f>ランキング1000曲!G723</f>
        <v>https://www.uta-net.com/song/42626/</v>
      </c>
    </row>
    <row r="321" spans="1:8" ht="42" customHeight="1">
      <c r="A321" s="7">
        <v>718</v>
      </c>
      <c r="B321" s="9" t="s">
        <v>481</v>
      </c>
      <c r="C321" s="9" t="s">
        <v>310</v>
      </c>
      <c r="D321" s="8">
        <v>40135</v>
      </c>
      <c r="E321" s="2" t="s">
        <v>13</v>
      </c>
      <c r="F321" s="15" t="b">
        <v>0</v>
      </c>
      <c r="G321" s="10" t="str">
        <f>ランキング1000曲!E724</f>
        <v>三段</v>
      </c>
      <c r="H321" s="11" t="str">
        <f>ランキング1000曲!G724</f>
        <v>https://www.uta-net.com/song/85740/</v>
      </c>
    </row>
    <row r="322" spans="1:8" ht="30" customHeight="1">
      <c r="A322" s="7">
        <v>719</v>
      </c>
      <c r="B322" s="9" t="s">
        <v>482</v>
      </c>
      <c r="C322" s="9" t="s">
        <v>406</v>
      </c>
      <c r="D322" s="8">
        <v>33443</v>
      </c>
      <c r="E322" s="2" t="s">
        <v>13</v>
      </c>
      <c r="F322" s="15" t="b">
        <v>0</v>
      </c>
      <c r="G322" s="10" t="str">
        <f>ランキング1000曲!E725</f>
        <v>三段</v>
      </c>
      <c r="H322" s="11" t="str">
        <f>ランキング1000曲!G725</f>
        <v>https://www.uta-net.com/song/2774/</v>
      </c>
    </row>
    <row r="323" spans="1:8" ht="30" customHeight="1">
      <c r="A323" s="7">
        <v>720</v>
      </c>
      <c r="B323" s="9" t="s">
        <v>483</v>
      </c>
      <c r="C323" s="9" t="s">
        <v>484</v>
      </c>
      <c r="D323" s="8">
        <v>36432</v>
      </c>
      <c r="E323" s="2" t="s">
        <v>13</v>
      </c>
      <c r="F323" s="15" t="b">
        <v>0</v>
      </c>
      <c r="G323" s="10" t="str">
        <f>ランキング1000曲!E726</f>
        <v>三段</v>
      </c>
      <c r="H323" s="11" t="str">
        <f>ランキング1000曲!G726</f>
        <v>https://www.uta-net.com/song/4529/</v>
      </c>
    </row>
    <row r="324" spans="1:8" ht="30" customHeight="1">
      <c r="A324" s="7">
        <v>721</v>
      </c>
      <c r="B324" s="9" t="s">
        <v>410</v>
      </c>
      <c r="C324" s="9" t="s">
        <v>485</v>
      </c>
      <c r="D324" s="8">
        <v>39722</v>
      </c>
      <c r="E324" s="2" t="s">
        <v>13</v>
      </c>
      <c r="F324" s="15" t="b">
        <v>0</v>
      </c>
      <c r="G324" s="10" t="str">
        <f>ランキング1000曲!E727</f>
        <v>三段</v>
      </c>
      <c r="H324" s="11" t="str">
        <f>ランキング1000曲!G727</f>
        <v>https://www.uta-net.com/song/71033/</v>
      </c>
    </row>
    <row r="325" spans="1:8" ht="30" customHeight="1">
      <c r="A325" s="7">
        <v>723</v>
      </c>
      <c r="B325" s="9" t="s">
        <v>486</v>
      </c>
      <c r="C325" s="9" t="s">
        <v>487</v>
      </c>
      <c r="D325" s="8">
        <v>37951</v>
      </c>
      <c r="E325" s="2" t="s">
        <v>13</v>
      </c>
      <c r="F325" s="15" t="b">
        <v>0</v>
      </c>
      <c r="G325" s="10" t="str">
        <f>ランキング1000曲!E729</f>
        <v>三段</v>
      </c>
      <c r="H325" s="11" t="str">
        <f>ランキング1000曲!G729</f>
        <v>https://www.uta-net.com/song/1080/</v>
      </c>
    </row>
    <row r="326" spans="1:8" ht="30" customHeight="1">
      <c r="A326" s="7">
        <v>724</v>
      </c>
      <c r="B326" s="9" t="s">
        <v>488</v>
      </c>
      <c r="C326" s="9" t="s">
        <v>443</v>
      </c>
      <c r="D326" s="8">
        <v>36342</v>
      </c>
      <c r="E326" s="2" t="s">
        <v>13</v>
      </c>
      <c r="F326" s="15" t="b">
        <v>0</v>
      </c>
      <c r="G326" s="10" t="str">
        <f>ランキング1000曲!E730</f>
        <v>三段</v>
      </c>
      <c r="H326" s="11" t="str">
        <f>ランキング1000曲!G730</f>
        <v>https://www.uta-net.com/song/11994/</v>
      </c>
    </row>
    <row r="327" spans="1:8" ht="30" customHeight="1">
      <c r="A327" s="7">
        <v>727</v>
      </c>
      <c r="B327" s="9" t="s">
        <v>489</v>
      </c>
      <c r="C327" s="9" t="s">
        <v>490</v>
      </c>
      <c r="D327" s="8">
        <v>33117</v>
      </c>
      <c r="E327" s="2" t="s">
        <v>13</v>
      </c>
      <c r="F327" s="15" t="b">
        <v>1</v>
      </c>
      <c r="G327" s="10" t="str">
        <f>ランキング1000曲!E733</f>
        <v>三段</v>
      </c>
      <c r="H327" s="11" t="str">
        <f>ランキング1000曲!G733</f>
        <v>https://www.uta-net.com/song/123/</v>
      </c>
    </row>
    <row r="328" spans="1:8" ht="30" customHeight="1">
      <c r="A328" s="7">
        <v>729</v>
      </c>
      <c r="B328" s="9" t="s">
        <v>491</v>
      </c>
      <c r="C328" s="9" t="s">
        <v>19</v>
      </c>
      <c r="D328" s="8">
        <v>37944</v>
      </c>
      <c r="E328" s="2" t="s">
        <v>13</v>
      </c>
      <c r="F328" s="15" t="b">
        <v>1</v>
      </c>
      <c r="G328" s="10" t="str">
        <f>ランキング1000曲!E735</f>
        <v>三段</v>
      </c>
      <c r="H328" s="11" t="str">
        <f>ランキング1000曲!G735</f>
        <v>https://www.uta-net.com/song/18170/</v>
      </c>
    </row>
    <row r="329" spans="1:8" ht="30" customHeight="1">
      <c r="A329" s="7">
        <v>731</v>
      </c>
      <c r="B329" s="9" t="s">
        <v>492</v>
      </c>
      <c r="C329" s="9" t="s">
        <v>45</v>
      </c>
      <c r="D329" s="8">
        <v>40128</v>
      </c>
      <c r="E329" s="2" t="s">
        <v>13</v>
      </c>
      <c r="F329" s="15" t="b">
        <v>0</v>
      </c>
      <c r="G329" s="10" t="str">
        <f>ランキング1000曲!E737</f>
        <v>三段</v>
      </c>
      <c r="H329" s="11" t="str">
        <f>ランキング1000曲!G737</f>
        <v>https://www.uta-net.com/song/86843/</v>
      </c>
    </row>
    <row r="330" spans="1:8" ht="30" customHeight="1">
      <c r="A330" s="7">
        <v>732</v>
      </c>
      <c r="B330" s="9" t="s">
        <v>493</v>
      </c>
      <c r="C330" s="9" t="s">
        <v>494</v>
      </c>
      <c r="D330" s="8">
        <v>36306</v>
      </c>
      <c r="E330" s="2" t="s">
        <v>13</v>
      </c>
      <c r="F330" s="15" t="b">
        <v>0</v>
      </c>
      <c r="G330" s="10" t="str">
        <f>ランキング1000曲!E738</f>
        <v>三段</v>
      </c>
      <c r="H330" s="11" t="str">
        <f>ランキング1000曲!G738</f>
        <v>https://www.uta-net.com/song/10341/</v>
      </c>
    </row>
    <row r="331" spans="1:8" ht="30" customHeight="1">
      <c r="A331" s="7">
        <v>734</v>
      </c>
      <c r="B331" s="9" t="s">
        <v>495</v>
      </c>
      <c r="C331" s="9" t="s">
        <v>496</v>
      </c>
      <c r="D331" s="8">
        <v>38413</v>
      </c>
      <c r="E331" s="2" t="s">
        <v>13</v>
      </c>
      <c r="F331" s="15" t="b">
        <v>0</v>
      </c>
      <c r="G331" s="10" t="str">
        <f>ランキング1000曲!E740</f>
        <v>三段</v>
      </c>
      <c r="H331" s="11" t="str">
        <f>ランキング1000曲!G740</f>
        <v>https://www.uta-net.com/song/1311/</v>
      </c>
    </row>
    <row r="332" spans="1:8" ht="30" customHeight="1">
      <c r="A332" s="7">
        <v>737</v>
      </c>
      <c r="B332" s="9" t="s">
        <v>497</v>
      </c>
      <c r="C332" s="9" t="s">
        <v>33</v>
      </c>
      <c r="D332" s="8">
        <v>38791</v>
      </c>
      <c r="E332" s="2" t="s">
        <v>13</v>
      </c>
      <c r="F332" s="15" t="b">
        <v>0</v>
      </c>
      <c r="G332" s="10" t="str">
        <f>ランキング1000曲!E743</f>
        <v>三段</v>
      </c>
      <c r="H332" s="11" t="str">
        <f>ランキング1000曲!G743</f>
        <v>https://www.uta-net.com/song/37330/</v>
      </c>
    </row>
    <row r="333" spans="1:8" ht="42" customHeight="1">
      <c r="A333" s="7">
        <v>738</v>
      </c>
      <c r="B333" s="9" t="s">
        <v>498</v>
      </c>
      <c r="C333" s="9" t="s">
        <v>67</v>
      </c>
      <c r="D333" s="8">
        <v>33866</v>
      </c>
      <c r="E333" s="2" t="s">
        <v>13</v>
      </c>
      <c r="F333" s="15" t="b">
        <v>1</v>
      </c>
      <c r="G333" s="10" t="str">
        <f>ランキング1000曲!E744</f>
        <v>三段</v>
      </c>
      <c r="H333" s="11" t="str">
        <f>ランキング1000曲!G744</f>
        <v>https://www.uta-net.com/song/1753/</v>
      </c>
    </row>
    <row r="334" spans="1:8" ht="30" customHeight="1">
      <c r="A334" s="7">
        <v>740</v>
      </c>
      <c r="B334" s="9" t="s">
        <v>499</v>
      </c>
      <c r="C334" s="9" t="s">
        <v>500</v>
      </c>
      <c r="D334" s="8">
        <v>38133</v>
      </c>
      <c r="E334" s="2" t="s">
        <v>13</v>
      </c>
      <c r="F334" s="15" t="b">
        <v>0</v>
      </c>
      <c r="G334" s="10" t="str">
        <f>ランキング1000曲!E746</f>
        <v>三段</v>
      </c>
      <c r="H334" s="11" t="str">
        <f>ランキング1000曲!G746</f>
        <v>https://www.uta-net.com/song/19052/</v>
      </c>
    </row>
    <row r="335" spans="1:8" ht="30" customHeight="1">
      <c r="A335" s="7">
        <v>741</v>
      </c>
      <c r="B335" s="9" t="s">
        <v>501</v>
      </c>
      <c r="C335" s="9" t="s">
        <v>83</v>
      </c>
      <c r="D335" s="8">
        <v>39323</v>
      </c>
      <c r="E335" s="2" t="s">
        <v>13</v>
      </c>
      <c r="F335" s="15" t="b">
        <v>0</v>
      </c>
      <c r="G335" s="10" t="str">
        <f>ランキング1000曲!E747</f>
        <v>三段</v>
      </c>
      <c r="H335" s="11" t="str">
        <f>ランキング1000曲!G747</f>
        <v>https://www.uta-net.com/song/55539/</v>
      </c>
    </row>
    <row r="336" spans="1:8" ht="30" customHeight="1">
      <c r="A336" s="7">
        <v>742</v>
      </c>
      <c r="B336" s="9" t="s">
        <v>502</v>
      </c>
      <c r="C336" s="9" t="s">
        <v>503</v>
      </c>
      <c r="D336" s="8">
        <v>35373</v>
      </c>
      <c r="E336" s="2" t="s">
        <v>13</v>
      </c>
      <c r="F336" s="15" t="b">
        <v>1</v>
      </c>
      <c r="G336" s="10" t="str">
        <f>ランキング1000曲!E748</f>
        <v>三段</v>
      </c>
      <c r="H336" s="11" t="str">
        <f>ランキング1000曲!G748</f>
        <v>https://www.uta-net.com/song/9440/</v>
      </c>
    </row>
    <row r="337" spans="1:8" ht="30" customHeight="1">
      <c r="A337" s="7">
        <v>743</v>
      </c>
      <c r="B337" s="9" t="s">
        <v>504</v>
      </c>
      <c r="C337" s="9" t="s">
        <v>505</v>
      </c>
      <c r="D337" s="8">
        <v>37972</v>
      </c>
      <c r="E337" s="2" t="s">
        <v>13</v>
      </c>
      <c r="F337" s="15" t="b">
        <v>1</v>
      </c>
      <c r="G337" s="10" t="str">
        <f>ランキング1000曲!E749</f>
        <v>三段</v>
      </c>
      <c r="H337" s="11" t="str">
        <f>ランキング1000曲!G749</f>
        <v>https://www.uta-net.com/song/18400/</v>
      </c>
    </row>
    <row r="338" spans="1:8" ht="30" customHeight="1">
      <c r="A338" s="7">
        <v>746</v>
      </c>
      <c r="B338" s="9" t="s">
        <v>506</v>
      </c>
      <c r="C338" s="9" t="s">
        <v>507</v>
      </c>
      <c r="D338" s="8">
        <v>39883</v>
      </c>
      <c r="E338" s="2" t="s">
        <v>13</v>
      </c>
      <c r="F338" s="15" t="b">
        <v>0</v>
      </c>
      <c r="G338" s="10" t="str">
        <f>ランキング1000曲!E752</f>
        <v>三段</v>
      </c>
      <c r="H338" s="11" t="str">
        <f>ランキング1000曲!G752</f>
        <v>https://www.uta-net.com/song/2752/</v>
      </c>
    </row>
    <row r="339" spans="1:8" ht="30" customHeight="1">
      <c r="A339" s="7">
        <v>747</v>
      </c>
      <c r="B339" s="9" t="s">
        <v>508</v>
      </c>
      <c r="C339" s="9" t="s">
        <v>100</v>
      </c>
      <c r="D339" s="8">
        <v>38406</v>
      </c>
      <c r="E339" s="2" t="s">
        <v>13</v>
      </c>
      <c r="F339" s="15" t="b">
        <v>0</v>
      </c>
      <c r="G339" s="10" t="str">
        <f>ランキング1000曲!E753</f>
        <v>三段</v>
      </c>
      <c r="H339" s="11" t="str">
        <f>ランキング1000曲!G753</f>
        <v>https://www.uta-net.com/song/25408/</v>
      </c>
    </row>
    <row r="340" spans="1:8" ht="30" customHeight="1">
      <c r="A340" s="7">
        <v>749</v>
      </c>
      <c r="B340" s="9" t="s">
        <v>509</v>
      </c>
      <c r="C340" s="9" t="s">
        <v>480</v>
      </c>
      <c r="D340" s="8">
        <v>35998</v>
      </c>
      <c r="E340" s="2" t="s">
        <v>13</v>
      </c>
      <c r="F340" s="15" t="b">
        <v>0</v>
      </c>
      <c r="G340" s="10" t="str">
        <f>ランキング1000曲!E755</f>
        <v>三段</v>
      </c>
      <c r="H340" s="11" t="str">
        <f>ランキング1000曲!G755</f>
        <v>https://www.uta-net.com/song/9246/</v>
      </c>
    </row>
    <row r="341" spans="1:8" ht="30" customHeight="1">
      <c r="A341" s="7">
        <v>750</v>
      </c>
      <c r="B341" s="9" t="s">
        <v>510</v>
      </c>
      <c r="C341" s="9" t="s">
        <v>511</v>
      </c>
      <c r="D341" s="8">
        <v>34080</v>
      </c>
      <c r="E341" s="2" t="s">
        <v>13</v>
      </c>
      <c r="F341" s="15" t="b">
        <v>1</v>
      </c>
      <c r="G341" s="10" t="str">
        <f>ランキング1000曲!E756</f>
        <v>三段</v>
      </c>
      <c r="H341" s="11" t="str">
        <f>ランキング1000曲!G756</f>
        <v>https://www.uta-net.com/song/3408/</v>
      </c>
    </row>
    <row r="342" spans="1:8" ht="30" customHeight="1">
      <c r="A342" s="7">
        <v>753</v>
      </c>
      <c r="B342" s="9" t="s">
        <v>512</v>
      </c>
      <c r="C342" s="9" t="s">
        <v>72</v>
      </c>
      <c r="D342" s="8">
        <v>38483</v>
      </c>
      <c r="E342" s="2" t="s">
        <v>13</v>
      </c>
      <c r="F342" s="15" t="b">
        <v>0</v>
      </c>
      <c r="G342" s="10" t="str">
        <f>ランキング1000曲!E759</f>
        <v>三段</v>
      </c>
      <c r="H342" s="11" t="str">
        <f>ランキング1000曲!G759</f>
        <v>https://www.uta-net.com/song/25976/</v>
      </c>
    </row>
    <row r="343" spans="1:8" ht="30" customHeight="1">
      <c r="A343" s="7">
        <v>755</v>
      </c>
      <c r="B343" s="9" t="s">
        <v>513</v>
      </c>
      <c r="C343" s="9" t="s">
        <v>134</v>
      </c>
      <c r="D343" s="8">
        <v>34983</v>
      </c>
      <c r="E343" s="2" t="s">
        <v>13</v>
      </c>
      <c r="F343" s="15" t="b">
        <v>0</v>
      </c>
      <c r="G343" s="10" t="str">
        <f>ランキング1000曲!E761</f>
        <v>三段</v>
      </c>
      <c r="H343" s="11" t="str">
        <f>ランキング1000曲!G761</f>
        <v>https://www.uta-net.com/song/8737/</v>
      </c>
    </row>
    <row r="344" spans="1:8" ht="30" customHeight="1">
      <c r="A344" s="7">
        <v>756</v>
      </c>
      <c r="B344" s="9" t="s">
        <v>514</v>
      </c>
      <c r="C344" s="9" t="s">
        <v>86</v>
      </c>
      <c r="D344" s="8">
        <v>39652</v>
      </c>
      <c r="E344" s="2" t="s">
        <v>13</v>
      </c>
      <c r="F344" s="15" t="b">
        <v>0</v>
      </c>
      <c r="G344" s="10" t="str">
        <f>ランキング1000曲!E762</f>
        <v>三段</v>
      </c>
      <c r="H344" s="11" t="str">
        <f>ランキング1000曲!G762</f>
        <v>https://www.uta-net.com/song/68618/</v>
      </c>
    </row>
    <row r="345" spans="1:8" ht="30" customHeight="1">
      <c r="A345" s="7">
        <v>761</v>
      </c>
      <c r="B345" s="9" t="s">
        <v>515</v>
      </c>
      <c r="C345" s="9" t="s">
        <v>140</v>
      </c>
      <c r="D345" s="8">
        <v>36768</v>
      </c>
      <c r="E345" s="2" t="s">
        <v>13</v>
      </c>
      <c r="F345" s="15" t="b">
        <v>1</v>
      </c>
      <c r="G345" s="10" t="str">
        <f>ランキング1000曲!E767</f>
        <v>三段</v>
      </c>
      <c r="H345" s="11" t="str">
        <f>ランキング1000曲!G767</f>
        <v>https://www.uta-net.com/song/12499/</v>
      </c>
    </row>
    <row r="346" spans="1:8" ht="30" customHeight="1">
      <c r="A346" s="7">
        <v>762</v>
      </c>
      <c r="B346" s="9" t="s">
        <v>516</v>
      </c>
      <c r="C346" s="9" t="s">
        <v>165</v>
      </c>
      <c r="D346" s="8">
        <v>37076</v>
      </c>
      <c r="E346" s="2" t="s">
        <v>13</v>
      </c>
      <c r="F346" s="15" t="b">
        <v>1</v>
      </c>
      <c r="G346" s="10" t="str">
        <f>ランキング1000曲!E768</f>
        <v>三段</v>
      </c>
      <c r="H346" s="11" t="str">
        <f>ランキング1000曲!G768</f>
        <v>https://www.uta-net.com/song/13297/</v>
      </c>
    </row>
    <row r="347" spans="1:8" ht="30" customHeight="1">
      <c r="A347" s="7">
        <v>763</v>
      </c>
      <c r="B347" s="9" t="s">
        <v>517</v>
      </c>
      <c r="C347" s="9" t="s">
        <v>426</v>
      </c>
      <c r="D347" s="8">
        <v>38497</v>
      </c>
      <c r="E347" s="2" t="s">
        <v>13</v>
      </c>
      <c r="F347" s="15" t="b">
        <v>0</v>
      </c>
      <c r="G347" s="10" t="str">
        <f>ランキング1000曲!E769</f>
        <v>三段</v>
      </c>
      <c r="H347" s="11" t="str">
        <f>ランキング1000曲!G769</f>
        <v>https://www.uta-net.com/song/2137/</v>
      </c>
    </row>
    <row r="348" spans="1:8" ht="30" customHeight="1">
      <c r="A348" s="7">
        <v>765</v>
      </c>
      <c r="B348" s="9" t="s">
        <v>518</v>
      </c>
      <c r="C348" s="9" t="s">
        <v>27</v>
      </c>
      <c r="D348" s="8">
        <v>38196</v>
      </c>
      <c r="E348" s="2" t="s">
        <v>13</v>
      </c>
      <c r="F348" s="15" t="b">
        <v>0</v>
      </c>
      <c r="G348" s="10" t="str">
        <f>ランキング1000曲!E771</f>
        <v>三段</v>
      </c>
      <c r="H348" s="11" t="str">
        <f>ランキング1000曲!G771</f>
        <v>https://www.uta-net.com/song/12493/</v>
      </c>
    </row>
    <row r="349" spans="1:8" ht="30" customHeight="1">
      <c r="A349" s="7">
        <v>766</v>
      </c>
      <c r="B349" s="9" t="s">
        <v>519</v>
      </c>
      <c r="C349" s="9" t="s">
        <v>227</v>
      </c>
      <c r="D349" s="8">
        <v>33373</v>
      </c>
      <c r="E349" s="2" t="s">
        <v>13</v>
      </c>
      <c r="F349" s="15" t="b">
        <v>0</v>
      </c>
      <c r="G349" s="10" t="str">
        <f>ランキング1000曲!E772</f>
        <v>三段</v>
      </c>
      <c r="H349" s="11" t="str">
        <f>ランキング1000曲!G772</f>
        <v>https://www.uta-net.com/song/950/</v>
      </c>
    </row>
    <row r="350" spans="1:8" ht="42" customHeight="1">
      <c r="A350" s="7">
        <v>767</v>
      </c>
      <c r="B350" s="9" t="s">
        <v>520</v>
      </c>
      <c r="C350" s="9" t="s">
        <v>359</v>
      </c>
      <c r="D350" s="8">
        <v>35837</v>
      </c>
      <c r="E350" s="2" t="s">
        <v>13</v>
      </c>
      <c r="F350" s="15" t="b">
        <v>0</v>
      </c>
      <c r="G350" s="10" t="str">
        <f>ランキング1000曲!E773</f>
        <v>三段</v>
      </c>
      <c r="H350" s="11" t="str">
        <f>ランキング1000曲!G773</f>
        <v>https://www.uta-net.com/song/10159/</v>
      </c>
    </row>
    <row r="351" spans="1:8" ht="30" customHeight="1">
      <c r="A351" s="7">
        <v>768</v>
      </c>
      <c r="B351" s="9" t="s">
        <v>521</v>
      </c>
      <c r="C351" s="9" t="s">
        <v>522</v>
      </c>
      <c r="D351" s="8">
        <v>34932</v>
      </c>
      <c r="E351" s="2" t="s">
        <v>13</v>
      </c>
      <c r="F351" s="15" t="b">
        <v>0</v>
      </c>
      <c r="G351" s="10" t="str">
        <f>ランキング1000曲!E774</f>
        <v>三段</v>
      </c>
      <c r="H351" s="11" t="str">
        <f>ランキング1000曲!G774</f>
        <v>https://www.uta-net.com/song/8616/</v>
      </c>
    </row>
    <row r="352" spans="1:8" ht="30" customHeight="1">
      <c r="A352" s="7">
        <v>769</v>
      </c>
      <c r="B352" s="9" t="s">
        <v>523</v>
      </c>
      <c r="C352" s="9" t="s">
        <v>524</v>
      </c>
      <c r="D352" s="8">
        <v>35011</v>
      </c>
      <c r="E352" s="2" t="s">
        <v>13</v>
      </c>
      <c r="F352" s="15" t="b">
        <v>1</v>
      </c>
      <c r="G352" s="10" t="str">
        <f>ランキング1000曲!E775</f>
        <v>三段</v>
      </c>
      <c r="H352" s="11" t="str">
        <f>ランキング1000曲!G775</f>
        <v>https://www.uta-net.com/song/13252/</v>
      </c>
    </row>
    <row r="353" spans="1:8" ht="30" customHeight="1">
      <c r="A353" s="7">
        <v>770</v>
      </c>
      <c r="B353" s="9" t="s">
        <v>525</v>
      </c>
      <c r="C353" s="9" t="s">
        <v>526</v>
      </c>
      <c r="D353" s="8">
        <v>39925</v>
      </c>
      <c r="E353" s="2" t="s">
        <v>13</v>
      </c>
      <c r="F353" s="15" t="b">
        <v>0</v>
      </c>
      <c r="G353" s="10" t="str">
        <f>ランキング1000曲!E776</f>
        <v>三段</v>
      </c>
      <c r="H353" s="11" t="str">
        <f>ランキング1000曲!G776</f>
        <v>https://www.uta-net.com/song/78768/</v>
      </c>
    </row>
    <row r="354" spans="1:8" ht="30" customHeight="1">
      <c r="A354" s="7">
        <v>772</v>
      </c>
      <c r="B354" s="9" t="s">
        <v>527</v>
      </c>
      <c r="C354" s="9" t="s">
        <v>65</v>
      </c>
      <c r="D354" s="8">
        <v>39620</v>
      </c>
      <c r="E354" s="2" t="s">
        <v>13</v>
      </c>
      <c r="F354" s="15" t="b">
        <v>0</v>
      </c>
      <c r="G354" s="10" t="str">
        <f>ランキング1000曲!E778</f>
        <v>三段</v>
      </c>
      <c r="H354" s="11" t="str">
        <f>ランキング1000曲!G778</f>
        <v>https://www.uta-net.com/song/117623/</v>
      </c>
    </row>
    <row r="355" spans="1:8" ht="30" customHeight="1">
      <c r="A355" s="7">
        <v>776</v>
      </c>
      <c r="B355" s="9" t="s">
        <v>528</v>
      </c>
      <c r="C355" s="9" t="s">
        <v>529</v>
      </c>
      <c r="D355" s="8">
        <v>34274</v>
      </c>
      <c r="E355" s="2" t="s">
        <v>13</v>
      </c>
      <c r="F355" s="15" t="b">
        <v>1</v>
      </c>
      <c r="G355" s="10" t="str">
        <f>ランキング1000曲!E782</f>
        <v>三段</v>
      </c>
      <c r="H355" s="11" t="str">
        <f>ランキング1000曲!G782</f>
        <v>https://www.uta-net.com/song/959/</v>
      </c>
    </row>
    <row r="356" spans="1:8" ht="30" customHeight="1">
      <c r="A356" s="7">
        <v>777</v>
      </c>
      <c r="B356" s="9" t="s">
        <v>530</v>
      </c>
      <c r="C356" s="9" t="s">
        <v>45</v>
      </c>
      <c r="D356" s="8">
        <v>39960</v>
      </c>
      <c r="E356" s="2" t="s">
        <v>13</v>
      </c>
      <c r="F356" s="15" t="b">
        <v>0</v>
      </c>
      <c r="G356" s="10" t="str">
        <f>ランキング1000曲!E783</f>
        <v>三段</v>
      </c>
      <c r="H356" s="11" t="str">
        <f>ランキング1000曲!G783</f>
        <v>https://www.uta-net.com/song/80095/</v>
      </c>
    </row>
    <row r="357" spans="1:8" ht="30" customHeight="1">
      <c r="A357" s="7">
        <v>779</v>
      </c>
      <c r="B357" s="9" t="s">
        <v>531</v>
      </c>
      <c r="C357" s="9" t="s">
        <v>29</v>
      </c>
      <c r="D357" s="8">
        <v>38987</v>
      </c>
      <c r="E357" s="2" t="s">
        <v>13</v>
      </c>
      <c r="F357" s="15" t="b">
        <v>0</v>
      </c>
      <c r="G357" s="10" t="str">
        <f>ランキング1000曲!E785</f>
        <v>三段</v>
      </c>
      <c r="H357" s="11" t="str">
        <f>ランキング1000曲!G785</f>
        <v>https://www.uta-net.com/song/46443/</v>
      </c>
    </row>
    <row r="358" spans="1:8" ht="30" customHeight="1">
      <c r="A358" s="7">
        <v>781</v>
      </c>
      <c r="B358" s="9" t="s">
        <v>532</v>
      </c>
      <c r="C358" s="9" t="s">
        <v>533</v>
      </c>
      <c r="D358" s="8">
        <v>35755</v>
      </c>
      <c r="E358" s="2" t="s">
        <v>13</v>
      </c>
      <c r="F358" s="15" t="b">
        <v>0</v>
      </c>
      <c r="G358" s="10" t="str">
        <f>ランキング1000曲!E787</f>
        <v>三段</v>
      </c>
      <c r="H358" s="11" t="str">
        <f>ランキング1000曲!G787</f>
        <v>https://www.uta-net.com/song/39545/</v>
      </c>
    </row>
    <row r="359" spans="1:8" ht="30" customHeight="1">
      <c r="A359" s="7">
        <v>785</v>
      </c>
      <c r="B359" s="9" t="s">
        <v>534</v>
      </c>
      <c r="C359" s="9" t="s">
        <v>124</v>
      </c>
      <c r="D359" s="8">
        <v>39960</v>
      </c>
      <c r="E359" s="2" t="s">
        <v>13</v>
      </c>
      <c r="F359" s="15" t="b">
        <v>0</v>
      </c>
      <c r="G359" s="10" t="str">
        <f>ランキング1000曲!E791</f>
        <v>三段</v>
      </c>
      <c r="H359" s="11" t="str">
        <f>ランキング1000曲!G791</f>
        <v>https://www.uta-net.com/song/79346/</v>
      </c>
    </row>
    <row r="360" spans="1:8" ht="30" customHeight="1">
      <c r="A360" s="7">
        <v>787</v>
      </c>
      <c r="B360" s="9" t="s">
        <v>535</v>
      </c>
      <c r="C360" s="9" t="s">
        <v>29</v>
      </c>
      <c r="D360" s="8">
        <v>37734</v>
      </c>
      <c r="E360" s="2" t="s">
        <v>13</v>
      </c>
      <c r="F360" s="15" t="b">
        <v>0</v>
      </c>
      <c r="G360" s="10" t="str">
        <f>ランキング1000曲!E793</f>
        <v>三段</v>
      </c>
      <c r="H360" s="11" t="str">
        <f>ランキング1000曲!G793</f>
        <v>https://www.uta-net.com/song/165073/</v>
      </c>
    </row>
    <row r="361" spans="1:8" ht="30" customHeight="1">
      <c r="A361" s="7">
        <v>788</v>
      </c>
      <c r="B361" s="9" t="s">
        <v>536</v>
      </c>
      <c r="C361" s="9" t="s">
        <v>537</v>
      </c>
      <c r="D361" s="8">
        <v>39008</v>
      </c>
      <c r="E361" s="2" t="s">
        <v>13</v>
      </c>
      <c r="F361" s="15" t="b">
        <v>0</v>
      </c>
      <c r="G361" s="10" t="str">
        <f>ランキング1000曲!E794</f>
        <v>三段</v>
      </c>
      <c r="H361" s="11" t="str">
        <f>ランキング1000曲!G794</f>
        <v>https://www.uta-net.com/song/53759/</v>
      </c>
    </row>
    <row r="362" spans="1:8" ht="30" customHeight="1">
      <c r="A362" s="7">
        <v>793</v>
      </c>
      <c r="B362" s="9" t="s">
        <v>538</v>
      </c>
      <c r="C362" s="9" t="s">
        <v>539</v>
      </c>
      <c r="D362" s="8">
        <v>39071</v>
      </c>
      <c r="E362" s="2" t="s">
        <v>13</v>
      </c>
      <c r="F362" s="15" t="b">
        <v>0</v>
      </c>
      <c r="G362" s="10" t="str">
        <f>ランキング1000曲!E799</f>
        <v>三段</v>
      </c>
      <c r="H362" s="11" t="str">
        <f>ランキング1000曲!G799</f>
        <v>https://www.uta-net.com/song/1310/</v>
      </c>
    </row>
    <row r="363" spans="1:8" ht="30" customHeight="1">
      <c r="A363" s="7">
        <v>796</v>
      </c>
      <c r="B363" s="9" t="s">
        <v>540</v>
      </c>
      <c r="C363" s="9" t="s">
        <v>12</v>
      </c>
      <c r="D363" s="8">
        <v>39883</v>
      </c>
      <c r="E363" s="2" t="s">
        <v>13</v>
      </c>
      <c r="F363" s="15" t="b">
        <v>0</v>
      </c>
      <c r="G363" s="10" t="str">
        <f>ランキング1000曲!E802</f>
        <v>三段</v>
      </c>
      <c r="H363" s="11" t="str">
        <f>ランキング1000曲!G802</f>
        <v>https://www.uta-net.com/song/76756/</v>
      </c>
    </row>
    <row r="364" spans="1:8" ht="30" customHeight="1">
      <c r="A364" s="7">
        <v>797</v>
      </c>
      <c r="B364" s="9" t="s">
        <v>541</v>
      </c>
      <c r="C364" s="9" t="s">
        <v>88</v>
      </c>
      <c r="D364" s="8">
        <v>35971</v>
      </c>
      <c r="E364" s="2" t="s">
        <v>13</v>
      </c>
      <c r="F364" s="15" t="b">
        <v>0</v>
      </c>
      <c r="G364" s="10" t="str">
        <f>ランキング1000曲!E803</f>
        <v>三段</v>
      </c>
      <c r="H364" s="11" t="str">
        <f>ランキング1000曲!G803</f>
        <v>https://www.uta-net.com/song/1525/</v>
      </c>
    </row>
    <row r="365" spans="1:8" ht="30" customHeight="1">
      <c r="A365" s="7">
        <v>798</v>
      </c>
      <c r="B365" s="9" t="s">
        <v>542</v>
      </c>
      <c r="C365" s="9" t="s">
        <v>543</v>
      </c>
      <c r="D365" s="8">
        <v>39932</v>
      </c>
      <c r="E365" s="2" t="s">
        <v>13</v>
      </c>
      <c r="F365" s="15" t="b">
        <v>0</v>
      </c>
      <c r="G365" s="10" t="str">
        <f>ランキング1000曲!E804</f>
        <v>三段</v>
      </c>
      <c r="H365" s="11" t="str">
        <f>ランキング1000曲!G804</f>
        <v>https://www.uta-net.com/song/79253/</v>
      </c>
    </row>
    <row r="366" spans="1:8" ht="42" customHeight="1">
      <c r="A366" s="7">
        <v>800</v>
      </c>
      <c r="B366" s="9" t="s">
        <v>544</v>
      </c>
      <c r="C366" s="9" t="s">
        <v>545</v>
      </c>
      <c r="D366" s="8">
        <v>39876</v>
      </c>
      <c r="E366" s="2" t="s">
        <v>13</v>
      </c>
      <c r="F366" s="15" t="b">
        <v>1</v>
      </c>
      <c r="G366" s="10" t="str">
        <f>ランキング1000曲!E806</f>
        <v>三段</v>
      </c>
      <c r="H366" s="11" t="str">
        <f>ランキング1000曲!G806</f>
        <v>https://www.uta-net.com/song/78215/</v>
      </c>
    </row>
    <row r="367" spans="1:8" ht="30" customHeight="1">
      <c r="A367" s="7">
        <v>803</v>
      </c>
      <c r="B367" s="9" t="s">
        <v>546</v>
      </c>
      <c r="C367" s="9" t="s">
        <v>257</v>
      </c>
      <c r="D367" s="8">
        <v>33147</v>
      </c>
      <c r="E367" s="2" t="s">
        <v>13</v>
      </c>
      <c r="F367" s="15" t="b">
        <v>0</v>
      </c>
      <c r="G367" s="10" t="str">
        <f>ランキング1000曲!E809</f>
        <v>四段</v>
      </c>
      <c r="H367" s="11" t="str">
        <f>ランキング1000曲!G809</f>
        <v>https://www.uta-net.com/song/14518/</v>
      </c>
    </row>
    <row r="368" spans="1:8" ht="30" customHeight="1">
      <c r="A368" s="7">
        <v>808</v>
      </c>
      <c r="B368" s="9" t="s">
        <v>547</v>
      </c>
      <c r="C368" s="9" t="s">
        <v>17</v>
      </c>
      <c r="D368" s="8">
        <v>37150</v>
      </c>
      <c r="E368" s="2" t="s">
        <v>13</v>
      </c>
      <c r="F368" s="15" t="b">
        <v>0</v>
      </c>
      <c r="G368" s="10" t="str">
        <f>ランキング1000曲!E814</f>
        <v>四段</v>
      </c>
      <c r="H368" s="11" t="str">
        <f>ランキング1000曲!G814</f>
        <v>https://www.uta-net.com/song/48899/</v>
      </c>
    </row>
    <row r="369" spans="1:8" ht="30" customHeight="1">
      <c r="A369" s="7">
        <v>813</v>
      </c>
      <c r="B369" s="9" t="s">
        <v>548</v>
      </c>
      <c r="C369" s="9" t="s">
        <v>461</v>
      </c>
      <c r="D369" s="8">
        <v>34869</v>
      </c>
      <c r="E369" s="2" t="s">
        <v>13</v>
      </c>
      <c r="F369" s="15" t="b">
        <v>0</v>
      </c>
      <c r="G369" s="10" t="str">
        <f>ランキング1000曲!E819</f>
        <v>四段</v>
      </c>
      <c r="H369" s="11" t="str">
        <f>ランキング1000曲!G819</f>
        <v>https://www.uta-net.com/song/8448/</v>
      </c>
    </row>
    <row r="370" spans="1:8" ht="30" customHeight="1">
      <c r="A370" s="7">
        <v>814</v>
      </c>
      <c r="B370" s="9" t="s">
        <v>549</v>
      </c>
      <c r="C370" s="9" t="s">
        <v>148</v>
      </c>
      <c r="D370" s="8">
        <v>38679</v>
      </c>
      <c r="E370" s="2" t="s">
        <v>13</v>
      </c>
      <c r="F370" s="15" t="b">
        <v>0</v>
      </c>
      <c r="G370" s="10" t="str">
        <f>ランキング1000曲!E820</f>
        <v>四段</v>
      </c>
      <c r="H370" s="11" t="str">
        <f>ランキング1000曲!G820</f>
        <v>https://www.uta-net.com/song/1620/</v>
      </c>
    </row>
    <row r="371" spans="1:8" ht="30" customHeight="1">
      <c r="A371" s="7">
        <v>817</v>
      </c>
      <c r="B371" s="9" t="s">
        <v>550</v>
      </c>
      <c r="C371" s="9" t="s">
        <v>551</v>
      </c>
      <c r="D371" s="8">
        <v>35936</v>
      </c>
      <c r="E371" s="2" t="s">
        <v>13</v>
      </c>
      <c r="F371" s="15" t="b">
        <v>0</v>
      </c>
      <c r="G371" s="10" t="str">
        <f>ランキング1000曲!E823</f>
        <v>四段</v>
      </c>
      <c r="H371" s="11" t="str">
        <f>ランキング1000曲!G823</f>
        <v>https://www.uta-net.com/song/4532/</v>
      </c>
    </row>
    <row r="372" spans="1:8" ht="30" customHeight="1">
      <c r="A372" s="7">
        <v>818</v>
      </c>
      <c r="B372" s="9" t="s">
        <v>552</v>
      </c>
      <c r="C372" s="9" t="s">
        <v>33</v>
      </c>
      <c r="D372" s="8">
        <v>39554</v>
      </c>
      <c r="E372" s="2" t="s">
        <v>13</v>
      </c>
      <c r="F372" s="15" t="b">
        <v>0</v>
      </c>
      <c r="G372" s="10" t="str">
        <f>ランキング1000曲!E824</f>
        <v>四段</v>
      </c>
      <c r="H372" s="11" t="str">
        <f>ランキング1000曲!G824</f>
        <v>https://www.uta-net.com/song/63700/</v>
      </c>
    </row>
    <row r="373" spans="1:8" ht="30" customHeight="1">
      <c r="A373" s="7">
        <v>819</v>
      </c>
      <c r="B373" s="9" t="s">
        <v>553</v>
      </c>
      <c r="C373" s="9" t="s">
        <v>29</v>
      </c>
      <c r="D373" s="8">
        <v>38987</v>
      </c>
      <c r="E373" s="2" t="s">
        <v>13</v>
      </c>
      <c r="F373" s="15" t="b">
        <v>0</v>
      </c>
      <c r="G373" s="10" t="str">
        <f>ランキング1000曲!E825</f>
        <v>四段</v>
      </c>
      <c r="H373" s="11" t="str">
        <f>ランキング1000曲!G825</f>
        <v>https://www.uta-net.com/song/46465/</v>
      </c>
    </row>
    <row r="374" spans="1:8" ht="30" customHeight="1">
      <c r="A374" s="7">
        <v>820</v>
      </c>
      <c r="B374" s="9" t="s">
        <v>554</v>
      </c>
      <c r="C374" s="9" t="s">
        <v>555</v>
      </c>
      <c r="D374" s="8">
        <v>36727</v>
      </c>
      <c r="E374" s="2" t="s">
        <v>13</v>
      </c>
      <c r="F374" s="15" t="b">
        <v>1</v>
      </c>
      <c r="G374" s="10" t="str">
        <f>ランキング1000曲!E826</f>
        <v>四段</v>
      </c>
      <c r="H374" s="11" t="str">
        <f>ランキング1000曲!G826</f>
        <v>https://www.uta-net.com/song/21323/</v>
      </c>
    </row>
    <row r="375" spans="1:8" ht="30" customHeight="1">
      <c r="A375" s="7">
        <v>824</v>
      </c>
      <c r="B375" s="9" t="s">
        <v>556</v>
      </c>
      <c r="C375" s="9" t="s">
        <v>70</v>
      </c>
      <c r="D375" s="8">
        <v>38224</v>
      </c>
      <c r="E375" s="2" t="s">
        <v>13</v>
      </c>
      <c r="F375" s="15" t="b">
        <v>0</v>
      </c>
      <c r="G375" s="10" t="str">
        <f>ランキング1000曲!E830</f>
        <v>四段</v>
      </c>
      <c r="H375" s="11" t="str">
        <f>ランキング1000曲!G830</f>
        <v>https://www.uta-net.com/song/20232/</v>
      </c>
    </row>
    <row r="376" spans="1:8" ht="30" customHeight="1">
      <c r="A376" s="7">
        <v>827</v>
      </c>
      <c r="B376" s="9" t="s">
        <v>557</v>
      </c>
      <c r="C376" s="9" t="s">
        <v>35</v>
      </c>
      <c r="D376" s="8">
        <v>37370</v>
      </c>
      <c r="E376" s="2" t="s">
        <v>13</v>
      </c>
      <c r="F376" s="15" t="b">
        <v>0</v>
      </c>
      <c r="G376" s="10" t="str">
        <f>ランキング1000曲!E833</f>
        <v>四段</v>
      </c>
      <c r="H376" s="11" t="str">
        <f>ランキング1000曲!G833</f>
        <v>https://www.uta-net.com/song/5508/</v>
      </c>
    </row>
    <row r="377" spans="1:8" ht="30" customHeight="1">
      <c r="A377" s="7">
        <v>828</v>
      </c>
      <c r="B377" s="9" t="s">
        <v>558</v>
      </c>
      <c r="C377" s="9" t="s">
        <v>559</v>
      </c>
      <c r="D377" s="8">
        <v>36908</v>
      </c>
      <c r="E377" s="2" t="s">
        <v>13</v>
      </c>
      <c r="F377" s="15" t="b">
        <v>0</v>
      </c>
      <c r="G377" s="10" t="str">
        <f>ランキング1000曲!E834</f>
        <v>四段</v>
      </c>
      <c r="H377" s="11" t="str">
        <f>ランキング1000曲!G834</f>
        <v>https://www.uta-net.com/song/12928/</v>
      </c>
    </row>
    <row r="378" spans="1:8" ht="30" customHeight="1">
      <c r="A378" s="7">
        <v>830</v>
      </c>
      <c r="B378" s="9" t="s">
        <v>560</v>
      </c>
      <c r="C378" s="9" t="s">
        <v>227</v>
      </c>
      <c r="D378" s="8">
        <v>33373</v>
      </c>
      <c r="E378" s="2" t="s">
        <v>13</v>
      </c>
      <c r="F378" s="15" t="b">
        <v>0</v>
      </c>
      <c r="G378" s="10" t="str">
        <f>ランキング1000曲!E836</f>
        <v>四段</v>
      </c>
      <c r="H378" s="11" t="str">
        <f>ランキング1000曲!G836</f>
        <v>https://www.uta-net.com/song/2497/</v>
      </c>
    </row>
    <row r="379" spans="1:8" ht="30" customHeight="1">
      <c r="A379" s="7">
        <v>831</v>
      </c>
      <c r="B379" s="9" t="s">
        <v>561</v>
      </c>
      <c r="C379" s="9" t="s">
        <v>562</v>
      </c>
      <c r="D379" s="8">
        <v>35266</v>
      </c>
      <c r="E379" s="2" t="s">
        <v>13</v>
      </c>
      <c r="F379" s="15" t="b">
        <v>1</v>
      </c>
      <c r="G379" s="10" t="str">
        <f>ランキング1000曲!E837</f>
        <v>四段</v>
      </c>
      <c r="H379" s="11" t="str">
        <f>ランキング1000曲!G837</f>
        <v>https://www.uta-net.com/song/4472/</v>
      </c>
    </row>
    <row r="380" spans="1:8" ht="30" customHeight="1">
      <c r="A380" s="7">
        <v>835</v>
      </c>
      <c r="B380" s="9" t="s">
        <v>563</v>
      </c>
      <c r="C380" s="9" t="s">
        <v>50</v>
      </c>
      <c r="D380" s="8">
        <v>38119</v>
      </c>
      <c r="E380" s="2" t="s">
        <v>13</v>
      </c>
      <c r="F380" s="15" t="b">
        <v>0</v>
      </c>
      <c r="G380" s="10" t="str">
        <f>ランキング1000曲!E841</f>
        <v>四段</v>
      </c>
      <c r="H380" s="11" t="str">
        <f>ランキング1000曲!G841</f>
        <v>https://www.uta-net.com/song/19104/</v>
      </c>
    </row>
    <row r="381" spans="1:8" ht="30" customHeight="1">
      <c r="A381" s="7">
        <v>836</v>
      </c>
      <c r="B381" s="9" t="s">
        <v>564</v>
      </c>
      <c r="C381" s="9" t="s">
        <v>19</v>
      </c>
      <c r="D381" s="8">
        <v>39155</v>
      </c>
      <c r="E381" s="2" t="s">
        <v>13</v>
      </c>
      <c r="F381" s="15" t="b">
        <v>1</v>
      </c>
      <c r="G381" s="10" t="str">
        <f>ランキング1000曲!E842</f>
        <v>四段</v>
      </c>
      <c r="H381" s="11" t="str">
        <f>ランキング1000曲!G842</f>
        <v>https://www.uta-net.com/song/52376/</v>
      </c>
    </row>
    <row r="382" spans="1:8" ht="30" customHeight="1">
      <c r="A382" s="7">
        <v>837</v>
      </c>
      <c r="B382" s="9" t="s">
        <v>565</v>
      </c>
      <c r="C382" s="9" t="s">
        <v>19</v>
      </c>
      <c r="D382" s="8">
        <v>34921</v>
      </c>
      <c r="E382" s="2" t="s">
        <v>13</v>
      </c>
      <c r="F382" s="15" t="b">
        <v>0</v>
      </c>
      <c r="G382" s="10" t="str">
        <f>ランキング1000曲!E843</f>
        <v>四段</v>
      </c>
      <c r="H382" s="11" t="str">
        <f>ランキング1000曲!G843</f>
        <v>https://www.uta-net.com/song/8612/</v>
      </c>
    </row>
    <row r="383" spans="1:8" ht="30" customHeight="1">
      <c r="A383" s="7">
        <v>839</v>
      </c>
      <c r="B383" s="9" t="s">
        <v>566</v>
      </c>
      <c r="C383" s="9" t="s">
        <v>261</v>
      </c>
      <c r="D383" s="8">
        <v>37525</v>
      </c>
      <c r="E383" s="2" t="s">
        <v>13</v>
      </c>
      <c r="F383" s="15" t="b">
        <v>1</v>
      </c>
      <c r="G383" s="10" t="str">
        <f>ランキング1000曲!E845</f>
        <v>四段</v>
      </c>
      <c r="H383" s="11" t="str">
        <f>ランキング1000曲!G845</f>
        <v>https://www.uta-net.com/song/16014/</v>
      </c>
    </row>
    <row r="384" spans="1:8" ht="30" customHeight="1">
      <c r="A384" s="7">
        <v>840</v>
      </c>
      <c r="B384" s="9" t="s">
        <v>567</v>
      </c>
      <c r="C384" s="9" t="s">
        <v>568</v>
      </c>
      <c r="D384" s="8">
        <v>40107</v>
      </c>
      <c r="E384" s="2" t="s">
        <v>13</v>
      </c>
      <c r="F384" s="15" t="b">
        <v>0</v>
      </c>
      <c r="G384" s="10" t="str">
        <f>ランキング1000曲!E846</f>
        <v>四段</v>
      </c>
      <c r="H384" s="11" t="str">
        <f>ランキング1000曲!G846</f>
        <v>https://www.uta-net.com/song/104675/</v>
      </c>
    </row>
    <row r="385" spans="1:8" ht="30" customHeight="1">
      <c r="A385" s="7">
        <v>841</v>
      </c>
      <c r="B385" s="9" t="s">
        <v>569</v>
      </c>
      <c r="C385" s="9" t="s">
        <v>351</v>
      </c>
      <c r="D385" s="8">
        <v>32649</v>
      </c>
      <c r="E385" s="2" t="s">
        <v>13</v>
      </c>
      <c r="F385" s="15" t="b">
        <v>1</v>
      </c>
      <c r="G385" s="10" t="str">
        <f>ランキング1000曲!E847</f>
        <v>四段</v>
      </c>
      <c r="H385" s="11" t="str">
        <f>ランキング1000曲!G847</f>
        <v>https://www.uta-net.com/song/4853/</v>
      </c>
    </row>
    <row r="386" spans="1:8" ht="30" customHeight="1">
      <c r="A386" s="7">
        <v>850</v>
      </c>
      <c r="B386" s="9" t="s">
        <v>570</v>
      </c>
      <c r="C386" s="9" t="s">
        <v>443</v>
      </c>
      <c r="D386" s="8">
        <v>38077</v>
      </c>
      <c r="E386" s="2" t="s">
        <v>13</v>
      </c>
      <c r="F386" s="15" t="b">
        <v>0</v>
      </c>
      <c r="G386" s="10" t="str">
        <f>ランキング1000曲!E856</f>
        <v>四段</v>
      </c>
      <c r="H386" s="11" t="str">
        <f>ランキング1000曲!G856</f>
        <v>https://www.uta-net.com/song/18567/</v>
      </c>
    </row>
    <row r="387" spans="1:8" ht="30" customHeight="1">
      <c r="A387" s="7">
        <v>852</v>
      </c>
      <c r="B387" s="9" t="s">
        <v>571</v>
      </c>
      <c r="C387" s="9" t="s">
        <v>115</v>
      </c>
      <c r="D387" s="8">
        <v>33161</v>
      </c>
      <c r="E387" s="2" t="s">
        <v>13</v>
      </c>
      <c r="F387" s="15" t="b">
        <v>1</v>
      </c>
      <c r="G387" s="10" t="str">
        <f>ランキング1000曲!E858</f>
        <v>四段</v>
      </c>
      <c r="H387" s="11" t="str">
        <f>ランキング1000曲!G858</f>
        <v>https://www.uta-net.com/song/170/</v>
      </c>
    </row>
    <row r="388" spans="1:8" ht="30" customHeight="1">
      <c r="A388" s="7">
        <v>853</v>
      </c>
      <c r="B388" s="9" t="s">
        <v>572</v>
      </c>
      <c r="C388" s="9" t="s">
        <v>100</v>
      </c>
      <c r="D388" s="8">
        <v>38322</v>
      </c>
      <c r="E388" s="2" t="s">
        <v>13</v>
      </c>
      <c r="F388" s="15" t="b">
        <v>0</v>
      </c>
      <c r="G388" s="10" t="str">
        <f>ランキング1000曲!E859</f>
        <v>四段</v>
      </c>
      <c r="H388" s="11" t="str">
        <f>ランキング1000曲!G859</f>
        <v>https://www.uta-net.com/song/21104/</v>
      </c>
    </row>
    <row r="389" spans="1:8" ht="30" customHeight="1">
      <c r="A389" s="7">
        <v>858</v>
      </c>
      <c r="B389" s="9" t="s">
        <v>573</v>
      </c>
      <c r="C389" s="9" t="s">
        <v>153</v>
      </c>
      <c r="D389" s="8">
        <v>36551</v>
      </c>
      <c r="E389" s="2" t="s">
        <v>13</v>
      </c>
      <c r="F389" s="15" t="b">
        <v>1</v>
      </c>
      <c r="G389" s="10" t="str">
        <f>ランキング1000曲!E864</f>
        <v>四段</v>
      </c>
      <c r="H389" s="11" t="str">
        <f>ランキング1000曲!G864</f>
        <v>https://www.uta-net.com/song/12574/</v>
      </c>
    </row>
    <row r="390" spans="1:8" ht="30" customHeight="1">
      <c r="A390" s="7">
        <v>860</v>
      </c>
      <c r="B390" s="9" t="s">
        <v>574</v>
      </c>
      <c r="C390" s="9" t="s">
        <v>72</v>
      </c>
      <c r="D390" s="8">
        <v>38274</v>
      </c>
      <c r="E390" s="2" t="s">
        <v>13</v>
      </c>
      <c r="F390" s="15" t="b">
        <v>0</v>
      </c>
      <c r="G390" s="10" t="str">
        <f>ランキング1000曲!E866</f>
        <v>四段</v>
      </c>
      <c r="H390" s="11" t="str">
        <f>ランキング1000曲!G866</f>
        <v>https://www.uta-net.com/song/20743/</v>
      </c>
    </row>
    <row r="391" spans="1:8" ht="30" customHeight="1">
      <c r="A391" s="7">
        <v>861</v>
      </c>
      <c r="B391" s="9" t="s">
        <v>575</v>
      </c>
      <c r="C391" s="9" t="s">
        <v>253</v>
      </c>
      <c r="D391" s="8">
        <v>33728</v>
      </c>
      <c r="E391" s="2" t="s">
        <v>13</v>
      </c>
      <c r="F391" s="15" t="b">
        <v>1</v>
      </c>
      <c r="G391" s="10" t="str">
        <f>ランキング1000曲!E867</f>
        <v>四段</v>
      </c>
      <c r="H391" s="11" t="str">
        <f>ランキング1000曲!G867</f>
        <v>https://www.uta-net.com/song/1531/</v>
      </c>
    </row>
    <row r="392" spans="1:8" ht="30" customHeight="1">
      <c r="A392" s="7">
        <v>862</v>
      </c>
      <c r="B392" s="9" t="s">
        <v>576</v>
      </c>
      <c r="C392" s="9" t="s">
        <v>29</v>
      </c>
      <c r="D392" s="8">
        <v>25569</v>
      </c>
      <c r="E392" s="2" t="s">
        <v>13</v>
      </c>
      <c r="F392" s="15" t="b">
        <v>0</v>
      </c>
      <c r="G392" s="10" t="str">
        <f>ランキング1000曲!E868</f>
        <v>四段</v>
      </c>
      <c r="H392" s="11" t="str">
        <f>ランキング1000曲!G868</f>
        <v>https://www.uta-net.com/song/38918/</v>
      </c>
    </row>
    <row r="393" spans="1:8" ht="30" customHeight="1">
      <c r="A393" s="7">
        <v>863</v>
      </c>
      <c r="B393" s="9" t="s">
        <v>577</v>
      </c>
      <c r="C393" s="9" t="s">
        <v>391</v>
      </c>
      <c r="D393" s="8">
        <v>39155</v>
      </c>
      <c r="E393" s="2" t="s">
        <v>13</v>
      </c>
      <c r="F393" s="15" t="b">
        <v>1</v>
      </c>
      <c r="G393" s="10" t="str">
        <f>ランキング1000曲!E869</f>
        <v>四段</v>
      </c>
      <c r="H393" s="11" t="str">
        <f>ランキング1000曲!G869</f>
        <v>https://www.uta-net.com/song/52715/</v>
      </c>
    </row>
    <row r="394" spans="1:8" ht="30" customHeight="1">
      <c r="A394" s="7">
        <v>864</v>
      </c>
      <c r="B394" s="9" t="s">
        <v>578</v>
      </c>
      <c r="C394" s="9" t="s">
        <v>579</v>
      </c>
      <c r="D394" s="8">
        <v>36502</v>
      </c>
      <c r="E394" s="2" t="s">
        <v>13</v>
      </c>
      <c r="F394" s="15" t="b">
        <v>1</v>
      </c>
      <c r="G394" s="10" t="str">
        <f>ランキング1000曲!E870</f>
        <v>四段</v>
      </c>
      <c r="H394" s="11" t="str">
        <f>ランキング1000曲!G870</f>
        <v>https://www.uta-net.com/song/9871/</v>
      </c>
    </row>
    <row r="395" spans="1:8" ht="30" customHeight="1">
      <c r="A395" s="7">
        <v>868</v>
      </c>
      <c r="B395" s="9" t="s">
        <v>580</v>
      </c>
      <c r="C395" s="9" t="s">
        <v>155</v>
      </c>
      <c r="D395" s="8">
        <v>39967</v>
      </c>
      <c r="E395" s="2" t="s">
        <v>13</v>
      </c>
      <c r="F395" s="15" t="b">
        <v>0</v>
      </c>
      <c r="G395" s="10" t="str">
        <f>ランキング1000曲!E874</f>
        <v>四段</v>
      </c>
      <c r="H395" s="11" t="str">
        <f>ランキング1000曲!G874</f>
        <v>https://www.uta-net.com/song/79434/</v>
      </c>
    </row>
    <row r="396" spans="1:8" ht="30" customHeight="1">
      <c r="A396" s="7">
        <v>871</v>
      </c>
      <c r="B396" s="9" t="s">
        <v>581</v>
      </c>
      <c r="C396" s="9" t="s">
        <v>247</v>
      </c>
      <c r="D396" s="8">
        <v>39862</v>
      </c>
      <c r="E396" s="2" t="s">
        <v>13</v>
      </c>
      <c r="F396" s="15" t="b">
        <v>0</v>
      </c>
      <c r="G396" s="10" t="str">
        <f>ランキング1000曲!E877</f>
        <v>四段</v>
      </c>
      <c r="H396" s="11" t="str">
        <f>ランキング1000曲!G877</f>
        <v>https://www.uta-net.com/song/75557/</v>
      </c>
    </row>
    <row r="397" spans="1:8" ht="30" customHeight="1">
      <c r="A397" s="7">
        <v>872</v>
      </c>
      <c r="B397" s="9" t="s">
        <v>582</v>
      </c>
      <c r="C397" s="9" t="s">
        <v>526</v>
      </c>
      <c r="D397" s="8">
        <v>39645</v>
      </c>
      <c r="E397" s="2" t="s">
        <v>13</v>
      </c>
      <c r="F397" s="15" t="b">
        <v>0</v>
      </c>
      <c r="G397" s="10" t="str">
        <f>ランキング1000曲!E878</f>
        <v>四段</v>
      </c>
      <c r="H397" s="11" t="str">
        <f>ランキング1000曲!G878</f>
        <v>https://www.uta-net.com/song/68371/</v>
      </c>
    </row>
    <row r="398" spans="1:8" ht="30" customHeight="1">
      <c r="A398" s="7">
        <v>873</v>
      </c>
      <c r="B398" s="9" t="s">
        <v>583</v>
      </c>
      <c r="C398" s="9" t="s">
        <v>47</v>
      </c>
      <c r="D398" s="8">
        <v>39470</v>
      </c>
      <c r="E398" s="2" t="s">
        <v>13</v>
      </c>
      <c r="F398" s="15" t="b">
        <v>0</v>
      </c>
      <c r="G398" s="10" t="str">
        <f>ランキング1000曲!E879</f>
        <v>四段</v>
      </c>
      <c r="H398" s="11" t="str">
        <f>ランキング1000曲!G879</f>
        <v>https://www.uta-net.com/song/60772/</v>
      </c>
    </row>
    <row r="399" spans="1:8" ht="30" customHeight="1">
      <c r="A399" s="7">
        <v>874</v>
      </c>
      <c r="B399" s="9" t="s">
        <v>584</v>
      </c>
      <c r="C399" s="9" t="s">
        <v>161</v>
      </c>
      <c r="D399" s="8">
        <v>36313</v>
      </c>
      <c r="E399" s="2" t="s">
        <v>13</v>
      </c>
      <c r="F399" s="15" t="b">
        <v>1</v>
      </c>
      <c r="G399" s="10" t="str">
        <f>ランキング1000曲!E880</f>
        <v>四段</v>
      </c>
      <c r="H399" s="11" t="str">
        <f>ランキング1000曲!G880</f>
        <v>https://www.uta-net.com/song/1769/</v>
      </c>
    </row>
    <row r="400" spans="1:8" ht="30" customHeight="1">
      <c r="A400" s="7">
        <v>876</v>
      </c>
      <c r="B400" s="9" t="s">
        <v>585</v>
      </c>
      <c r="C400" s="9" t="s">
        <v>56</v>
      </c>
      <c r="D400" s="8">
        <v>38791</v>
      </c>
      <c r="E400" s="2" t="s">
        <v>13</v>
      </c>
      <c r="F400" s="15" t="b">
        <v>0</v>
      </c>
      <c r="G400" s="10" t="str">
        <f>ランキング1000曲!E882</f>
        <v>四段</v>
      </c>
      <c r="H400" s="11" t="str">
        <f>ランキング1000曲!G882</f>
        <v>https://www.uta-net.com/song/17276/</v>
      </c>
    </row>
    <row r="401" spans="1:8" ht="30" customHeight="1">
      <c r="A401" s="7">
        <v>881</v>
      </c>
      <c r="B401" s="9" t="s">
        <v>586</v>
      </c>
      <c r="C401" s="9" t="s">
        <v>351</v>
      </c>
      <c r="D401" s="8">
        <v>32470</v>
      </c>
      <c r="E401" s="2" t="s">
        <v>13</v>
      </c>
      <c r="F401" s="15" t="b">
        <v>0</v>
      </c>
      <c r="G401" s="10" t="str">
        <f>ランキング1000曲!E887</f>
        <v>四段</v>
      </c>
      <c r="H401" s="11" t="str">
        <f>ランキング1000曲!G887</f>
        <v>https://www.uta-net.com/song/179/</v>
      </c>
    </row>
    <row r="402" spans="1:8" ht="42" customHeight="1">
      <c r="A402" s="7">
        <v>882</v>
      </c>
      <c r="B402" s="9" t="s">
        <v>587</v>
      </c>
      <c r="C402" s="9" t="s">
        <v>588</v>
      </c>
      <c r="D402" s="8">
        <v>39778</v>
      </c>
      <c r="E402" s="2" t="s">
        <v>13</v>
      </c>
      <c r="F402" s="15" t="b">
        <v>0</v>
      </c>
      <c r="G402" s="10" t="str">
        <f>ランキング1000曲!E888</f>
        <v>四段</v>
      </c>
      <c r="H402" s="11" t="str">
        <f>ランキング1000曲!G888</f>
        <v>https://www.uta-net.com/song/72403/</v>
      </c>
    </row>
    <row r="403" spans="1:8" ht="30" customHeight="1">
      <c r="A403" s="7">
        <v>885</v>
      </c>
      <c r="B403" s="9" t="s">
        <v>532</v>
      </c>
      <c r="C403" s="9" t="s">
        <v>589</v>
      </c>
      <c r="D403" s="8">
        <v>37889</v>
      </c>
      <c r="E403" s="2" t="s">
        <v>13</v>
      </c>
      <c r="F403" s="15" t="b">
        <v>0</v>
      </c>
      <c r="G403" s="10" t="str">
        <f>ランキング1000曲!E891</f>
        <v>四段</v>
      </c>
      <c r="H403" s="11" t="str">
        <f>ランキング1000曲!G891</f>
        <v>https://www.uta-net.com/song/216627/</v>
      </c>
    </row>
    <row r="404" spans="1:8" ht="42" customHeight="1">
      <c r="A404" s="7">
        <v>890</v>
      </c>
      <c r="B404" s="9" t="s">
        <v>590</v>
      </c>
      <c r="C404" s="9" t="s">
        <v>591</v>
      </c>
      <c r="D404" s="8">
        <v>38588</v>
      </c>
      <c r="E404" s="2" t="s">
        <v>13</v>
      </c>
      <c r="F404" s="15" t="b">
        <v>0</v>
      </c>
      <c r="G404" s="10" t="str">
        <f>ランキング1000曲!E896</f>
        <v>四段</v>
      </c>
      <c r="H404" s="11" t="str">
        <f>ランキング1000曲!G896</f>
        <v>https://www.uta-net.com/song/9138/</v>
      </c>
    </row>
    <row r="405" spans="1:8" ht="30" customHeight="1">
      <c r="A405" s="7">
        <v>892</v>
      </c>
      <c r="B405" s="9" t="s">
        <v>466</v>
      </c>
      <c r="C405" s="9" t="s">
        <v>261</v>
      </c>
      <c r="D405" s="8">
        <v>36873</v>
      </c>
      <c r="E405" s="2" t="s">
        <v>13</v>
      </c>
      <c r="F405" s="15" t="b">
        <v>0</v>
      </c>
      <c r="G405" s="10" t="str">
        <f>ランキング1000曲!E898</f>
        <v>四段</v>
      </c>
      <c r="H405" s="11" t="str">
        <f>ランキング1000曲!G898</f>
        <v>https://www.uta-net.com/song/12746/</v>
      </c>
    </row>
    <row r="406" spans="1:8" ht="30" customHeight="1">
      <c r="A406" s="7">
        <v>894</v>
      </c>
      <c r="B406" s="9" t="s">
        <v>439</v>
      </c>
      <c r="C406" s="9" t="s">
        <v>19</v>
      </c>
      <c r="D406" s="8">
        <v>37257</v>
      </c>
      <c r="E406" s="2" t="s">
        <v>13</v>
      </c>
      <c r="F406" s="15" t="b">
        <v>0</v>
      </c>
      <c r="G406" s="10" t="str">
        <f>ランキング1000曲!E900</f>
        <v>四段</v>
      </c>
      <c r="H406" s="11" t="str">
        <f>ランキング1000曲!G900</f>
        <v>https://www.uta-net.com/song/15028/</v>
      </c>
    </row>
    <row r="407" spans="1:8" ht="30" customHeight="1">
      <c r="A407" s="7">
        <v>895</v>
      </c>
      <c r="B407" s="9" t="s">
        <v>592</v>
      </c>
      <c r="C407" s="9" t="s">
        <v>426</v>
      </c>
      <c r="D407" s="8">
        <v>38497</v>
      </c>
      <c r="E407" s="2" t="s">
        <v>13</v>
      </c>
      <c r="F407" s="15" t="b">
        <v>1</v>
      </c>
      <c r="G407" s="10" t="str">
        <f>ランキング1000曲!E901</f>
        <v>四段</v>
      </c>
      <c r="H407" s="11" t="str">
        <f>ランキング1000曲!G901</f>
        <v>https://www.uta-net.com/song/4050/</v>
      </c>
    </row>
    <row r="408" spans="1:8" ht="30" customHeight="1">
      <c r="A408" s="7">
        <v>896</v>
      </c>
      <c r="B408" s="9" t="s">
        <v>593</v>
      </c>
      <c r="C408" s="9" t="s">
        <v>233</v>
      </c>
      <c r="D408" s="8">
        <v>36642</v>
      </c>
      <c r="E408" s="2" t="s">
        <v>13</v>
      </c>
      <c r="F408" s="15" t="b">
        <v>0</v>
      </c>
      <c r="G408" s="10" t="str">
        <f>ランキング1000曲!E902</f>
        <v>四段</v>
      </c>
      <c r="H408" s="11" t="str">
        <f>ランキング1000曲!G902</f>
        <v>https://www.uta-net.com/song/3786/</v>
      </c>
    </row>
    <row r="409" spans="1:8" ht="30" customHeight="1">
      <c r="A409" s="7">
        <v>897</v>
      </c>
      <c r="B409" s="9" t="s">
        <v>594</v>
      </c>
      <c r="C409" s="9" t="s">
        <v>595</v>
      </c>
      <c r="D409" s="8">
        <v>33161</v>
      </c>
      <c r="E409" s="2" t="s">
        <v>13</v>
      </c>
      <c r="F409" s="15" t="b">
        <v>0</v>
      </c>
      <c r="G409" s="10" t="str">
        <f>ランキング1000曲!E903</f>
        <v>四段</v>
      </c>
      <c r="H409" s="11" t="str">
        <f>ランキング1000曲!G903</f>
        <v>https://www.uta-net.com/song/3626/</v>
      </c>
    </row>
    <row r="410" spans="1:8" ht="30" customHeight="1">
      <c r="A410" s="7">
        <v>899</v>
      </c>
      <c r="B410" s="9" t="s">
        <v>596</v>
      </c>
      <c r="C410" s="9" t="s">
        <v>597</v>
      </c>
      <c r="D410" s="8">
        <v>35271</v>
      </c>
      <c r="E410" s="2" t="s">
        <v>13</v>
      </c>
      <c r="F410" s="15" t="b">
        <v>0</v>
      </c>
      <c r="G410" s="10" t="str">
        <f>ランキング1000曲!E905</f>
        <v>四段</v>
      </c>
      <c r="H410" s="11" t="str">
        <f>ランキング1000曲!G905</f>
        <v>https://www.uta-net.com/song/2772/</v>
      </c>
    </row>
    <row r="411" spans="1:8" ht="42" customHeight="1">
      <c r="A411" s="7">
        <v>902</v>
      </c>
      <c r="B411" s="9" t="s">
        <v>598</v>
      </c>
      <c r="C411" s="9" t="s">
        <v>310</v>
      </c>
      <c r="D411" s="8">
        <v>39225</v>
      </c>
      <c r="E411" s="2" t="s">
        <v>13</v>
      </c>
      <c r="F411" s="15" t="b">
        <v>1</v>
      </c>
      <c r="G411" s="10" t="str">
        <f>ランキング1000曲!E908</f>
        <v>五段</v>
      </c>
      <c r="H411" s="11" t="str">
        <f>ランキング1000曲!G908</f>
        <v>https://www.uta-net.com/song/53454/</v>
      </c>
    </row>
    <row r="412" spans="1:8" ht="30" customHeight="1">
      <c r="A412" s="7">
        <v>906</v>
      </c>
      <c r="B412" s="9" t="s">
        <v>599</v>
      </c>
      <c r="C412" s="9" t="s">
        <v>600</v>
      </c>
      <c r="D412" s="8">
        <v>31675</v>
      </c>
      <c r="E412" s="2" t="s">
        <v>13</v>
      </c>
      <c r="F412" s="15" t="b">
        <v>0</v>
      </c>
      <c r="G412" s="10" t="str">
        <f>ランキング1000曲!E912</f>
        <v>五段</v>
      </c>
      <c r="H412" s="11" t="str">
        <f>ランキング1000曲!G912</f>
        <v>https://www.uta-net.com/song/42573/</v>
      </c>
    </row>
    <row r="413" spans="1:8" ht="30" customHeight="1">
      <c r="A413" s="7">
        <v>908</v>
      </c>
      <c r="B413" s="9" t="s">
        <v>601</v>
      </c>
      <c r="C413" s="9" t="s">
        <v>33</v>
      </c>
      <c r="D413" s="8">
        <v>39008</v>
      </c>
      <c r="E413" s="2" t="s">
        <v>13</v>
      </c>
      <c r="F413" s="15" t="b">
        <v>1</v>
      </c>
      <c r="G413" s="10" t="str">
        <f>ランキング1000曲!E914</f>
        <v>五段</v>
      </c>
      <c r="H413" s="11" t="str">
        <f>ランキング1000曲!G914</f>
        <v>https://www.uta-net.com/song/45775/</v>
      </c>
    </row>
    <row r="414" spans="1:8" ht="30" customHeight="1">
      <c r="A414" s="7">
        <v>913</v>
      </c>
      <c r="B414" s="9" t="s">
        <v>602</v>
      </c>
      <c r="C414" s="9" t="s">
        <v>108</v>
      </c>
      <c r="D414" s="8">
        <v>39561</v>
      </c>
      <c r="E414" s="2" t="s">
        <v>13</v>
      </c>
      <c r="F414" s="15" t="b">
        <v>0</v>
      </c>
      <c r="G414" s="10" t="str">
        <f>ランキング1000曲!E919</f>
        <v>五段</v>
      </c>
      <c r="H414" s="11" t="str">
        <f>ランキング1000曲!G919</f>
        <v>https://www.uta-net.com/song/65226/</v>
      </c>
    </row>
    <row r="415" spans="1:8" ht="30" customHeight="1">
      <c r="A415" s="7">
        <v>914</v>
      </c>
      <c r="B415" s="9" t="s">
        <v>603</v>
      </c>
      <c r="C415" s="9" t="s">
        <v>604</v>
      </c>
      <c r="D415" s="8">
        <v>33928</v>
      </c>
      <c r="E415" s="2" t="s">
        <v>13</v>
      </c>
      <c r="F415" s="15" t="b">
        <v>0</v>
      </c>
      <c r="G415" s="10" t="str">
        <f>ランキング1000曲!E920</f>
        <v>五段</v>
      </c>
      <c r="H415" s="11" t="str">
        <f>ランキング1000曲!G920</f>
        <v>https://www.uta-net.com/song/6634/</v>
      </c>
    </row>
    <row r="416" spans="1:8" ht="30" customHeight="1">
      <c r="A416" s="7">
        <v>915</v>
      </c>
      <c r="B416" s="9" t="s">
        <v>605</v>
      </c>
      <c r="C416" s="9" t="s">
        <v>606</v>
      </c>
      <c r="D416" s="8">
        <v>39057</v>
      </c>
      <c r="E416" s="2" t="s">
        <v>13</v>
      </c>
      <c r="F416" s="15" t="b">
        <v>0</v>
      </c>
      <c r="G416" s="10" t="str">
        <f>ランキング1000曲!E921</f>
        <v>五段</v>
      </c>
      <c r="H416" s="11" t="str">
        <f>ランキング1000曲!G921</f>
        <v>https://www.uta-net.com/song/42636/</v>
      </c>
    </row>
    <row r="417" spans="1:8" ht="30" customHeight="1">
      <c r="A417" s="7">
        <v>916</v>
      </c>
      <c r="B417" s="9" t="s">
        <v>607</v>
      </c>
      <c r="C417" s="9" t="s">
        <v>195</v>
      </c>
      <c r="D417" s="8">
        <v>37027</v>
      </c>
      <c r="E417" s="2" t="s">
        <v>13</v>
      </c>
      <c r="F417" s="15" t="b">
        <v>1</v>
      </c>
      <c r="G417" s="10" t="str">
        <f>ランキング1000曲!E922</f>
        <v>五段</v>
      </c>
      <c r="H417" s="11" t="str">
        <f>ランキング1000曲!G922</f>
        <v>https://www.uta-net.com/song/13044/</v>
      </c>
    </row>
    <row r="418" spans="1:8" ht="30" customHeight="1">
      <c r="A418" s="7">
        <v>917</v>
      </c>
      <c r="B418" s="9" t="s">
        <v>608</v>
      </c>
      <c r="C418" s="9" t="s">
        <v>70</v>
      </c>
      <c r="D418" s="8">
        <v>37692</v>
      </c>
      <c r="E418" s="2" t="s">
        <v>13</v>
      </c>
      <c r="F418" s="15" t="b">
        <v>0</v>
      </c>
      <c r="G418" s="10" t="str">
        <f>ランキング1000曲!E923</f>
        <v>五段</v>
      </c>
      <c r="H418" s="11" t="str">
        <f>ランキング1000曲!G923</f>
        <v>https://www.uta-net.com/song/16883/</v>
      </c>
    </row>
    <row r="419" spans="1:8" ht="30" customHeight="1">
      <c r="A419" s="7">
        <v>918</v>
      </c>
      <c r="B419" s="9" t="s">
        <v>609</v>
      </c>
      <c r="C419" s="9" t="s">
        <v>610</v>
      </c>
      <c r="D419" s="8">
        <v>35683</v>
      </c>
      <c r="E419" s="2" t="s">
        <v>13</v>
      </c>
      <c r="F419" s="15" t="b">
        <v>0</v>
      </c>
      <c r="G419" s="10" t="str">
        <f>ランキング1000曲!E924</f>
        <v>五段</v>
      </c>
      <c r="H419" s="11" t="str">
        <f>ランキング1000曲!G924</f>
        <v>https://www.uta-net.com/song/10190/</v>
      </c>
    </row>
    <row r="420" spans="1:8" ht="30" customHeight="1">
      <c r="A420" s="7">
        <v>919</v>
      </c>
      <c r="B420" s="9" t="s">
        <v>611</v>
      </c>
      <c r="C420" s="9" t="s">
        <v>21</v>
      </c>
      <c r="D420" s="8">
        <v>33014</v>
      </c>
      <c r="E420" s="2" t="s">
        <v>13</v>
      </c>
      <c r="F420" s="15" t="b">
        <v>0</v>
      </c>
      <c r="G420" s="10" t="str">
        <f>ランキング1000曲!E925</f>
        <v>五段</v>
      </c>
      <c r="H420" s="11" t="str">
        <f>ランキング1000曲!G925</f>
        <v>https://www.uta-net.com/song/215/</v>
      </c>
    </row>
    <row r="421" spans="1:8" ht="30" customHeight="1">
      <c r="A421" s="7">
        <v>921</v>
      </c>
      <c r="B421" s="9" t="s">
        <v>612</v>
      </c>
      <c r="C421" s="9" t="s">
        <v>613</v>
      </c>
      <c r="D421" s="8">
        <v>34115</v>
      </c>
      <c r="E421" s="2" t="s">
        <v>13</v>
      </c>
      <c r="F421" s="15" t="b">
        <v>0</v>
      </c>
      <c r="G421" s="10" t="str">
        <f>ランキング1000曲!E927</f>
        <v>五段</v>
      </c>
      <c r="H421" s="11" t="str">
        <f>ランキング1000曲!G927</f>
        <v>https://www.uta-net.com/song/4244/</v>
      </c>
    </row>
    <row r="422" spans="1:8" ht="30" customHeight="1">
      <c r="A422" s="7">
        <v>922</v>
      </c>
      <c r="B422" s="9" t="s">
        <v>614</v>
      </c>
      <c r="C422" s="9" t="s">
        <v>615</v>
      </c>
      <c r="D422" s="8">
        <v>33475</v>
      </c>
      <c r="E422" s="2" t="s">
        <v>13</v>
      </c>
      <c r="F422" s="15" t="b">
        <v>1</v>
      </c>
      <c r="G422" s="10" t="str">
        <f>ランキング1000曲!E928</f>
        <v>五段</v>
      </c>
      <c r="H422" s="11" t="str">
        <f>ランキング1000曲!G928</f>
        <v>https://www.uta-net.com/song/2883/</v>
      </c>
    </row>
    <row r="423" spans="1:8" ht="30" customHeight="1">
      <c r="A423" s="7">
        <v>924</v>
      </c>
      <c r="B423" s="9" t="s">
        <v>616</v>
      </c>
      <c r="C423" s="9" t="s">
        <v>617</v>
      </c>
      <c r="D423" s="8">
        <v>38861</v>
      </c>
      <c r="E423" s="2" t="s">
        <v>13</v>
      </c>
      <c r="F423" s="15" t="b">
        <v>0</v>
      </c>
      <c r="G423" s="10" t="str">
        <f>ランキング1000曲!E930</f>
        <v>五段</v>
      </c>
      <c r="H423" s="11" t="str">
        <f>ランキング1000曲!G930</f>
        <v>https://www.uta-net.com/song/50939/</v>
      </c>
    </row>
    <row r="424" spans="1:8" ht="30" customHeight="1">
      <c r="A424" s="7">
        <v>927</v>
      </c>
      <c r="B424" s="9" t="s">
        <v>618</v>
      </c>
      <c r="C424" s="9" t="s">
        <v>54</v>
      </c>
      <c r="D424" s="8">
        <v>38749</v>
      </c>
      <c r="E424" s="2" t="s">
        <v>13</v>
      </c>
      <c r="F424" s="15" t="b">
        <v>0</v>
      </c>
      <c r="G424" s="10" t="str">
        <f>ランキング1000曲!E933</f>
        <v>五段</v>
      </c>
      <c r="H424" s="11" t="str">
        <f>ランキング1000曲!G933</f>
        <v>https://www.uta-net.com/song/36520/</v>
      </c>
    </row>
    <row r="425" spans="1:8" ht="30" customHeight="1">
      <c r="A425" s="7">
        <v>928</v>
      </c>
      <c r="B425" s="9" t="s">
        <v>619</v>
      </c>
      <c r="C425" s="9" t="s">
        <v>131</v>
      </c>
      <c r="D425" s="8">
        <v>38588</v>
      </c>
      <c r="E425" s="2" t="s">
        <v>13</v>
      </c>
      <c r="F425" s="15" t="b">
        <v>0</v>
      </c>
      <c r="G425" s="10" t="str">
        <f>ランキング1000曲!E934</f>
        <v>五段</v>
      </c>
      <c r="H425" s="11" t="str">
        <f>ランキング1000曲!G934</f>
        <v>https://www.uta-net.com/song/33888/</v>
      </c>
    </row>
    <row r="426" spans="1:8" ht="30" customHeight="1">
      <c r="A426" s="7">
        <v>931</v>
      </c>
      <c r="B426" s="9" t="s">
        <v>620</v>
      </c>
      <c r="C426" s="9" t="s">
        <v>183</v>
      </c>
      <c r="D426" s="8">
        <v>32227</v>
      </c>
      <c r="E426" s="2" t="s">
        <v>13</v>
      </c>
      <c r="F426" s="15" t="b">
        <v>0</v>
      </c>
      <c r="G426" s="10" t="str">
        <f>ランキング1000曲!E937</f>
        <v>五段</v>
      </c>
      <c r="H426" s="11" t="str">
        <f>ランキング1000曲!G937</f>
        <v>https://www.uta-net.com/song/10772/</v>
      </c>
    </row>
    <row r="427" spans="1:8" ht="30" customHeight="1">
      <c r="A427" s="7">
        <v>937</v>
      </c>
      <c r="B427" s="9" t="s">
        <v>621</v>
      </c>
      <c r="C427" s="9" t="s">
        <v>19</v>
      </c>
      <c r="D427" s="8">
        <v>39386</v>
      </c>
      <c r="E427" s="2" t="s">
        <v>13</v>
      </c>
      <c r="F427" s="15" t="b">
        <v>0</v>
      </c>
      <c r="G427" s="10" t="str">
        <f>ランキング1000曲!E943</f>
        <v>五段</v>
      </c>
      <c r="H427" s="11" t="str">
        <f>ランキング1000曲!G943</f>
        <v>https://www.uta-net.com/song/57899/</v>
      </c>
    </row>
    <row r="428" spans="1:8" ht="30" customHeight="1">
      <c r="A428" s="7">
        <v>938</v>
      </c>
      <c r="B428" s="9" t="s">
        <v>622</v>
      </c>
      <c r="C428" s="9" t="s">
        <v>597</v>
      </c>
      <c r="D428" s="8">
        <v>35882</v>
      </c>
      <c r="E428" s="2" t="s">
        <v>13</v>
      </c>
      <c r="F428" s="15" t="b">
        <v>0</v>
      </c>
      <c r="G428" s="10" t="str">
        <f>ランキング1000曲!E944</f>
        <v>五段</v>
      </c>
      <c r="H428" s="11" t="str">
        <f>ランキング1000曲!G944</f>
        <v>https://www.uta-net.com/song/759/</v>
      </c>
    </row>
    <row r="429" spans="1:8" ht="30" customHeight="1">
      <c r="A429" s="7">
        <v>939</v>
      </c>
      <c r="B429" s="9" t="s">
        <v>623</v>
      </c>
      <c r="C429" s="9" t="s">
        <v>624</v>
      </c>
      <c r="D429" s="8">
        <v>34017</v>
      </c>
      <c r="E429" s="2" t="s">
        <v>13</v>
      </c>
      <c r="F429" s="15" t="b">
        <v>0</v>
      </c>
      <c r="G429" s="10" t="str">
        <f>ランキング1000曲!E945</f>
        <v>五段</v>
      </c>
      <c r="H429" s="11" t="str">
        <f>ランキング1000曲!G945</f>
        <v>https://www.uta-net.com/song/3916/</v>
      </c>
    </row>
    <row r="430" spans="1:8" ht="30" customHeight="1">
      <c r="A430" s="7">
        <v>943</v>
      </c>
      <c r="B430" s="9" t="s">
        <v>625</v>
      </c>
      <c r="C430" s="9" t="s">
        <v>626</v>
      </c>
      <c r="D430" s="8">
        <v>35875</v>
      </c>
      <c r="E430" s="2" t="s">
        <v>13</v>
      </c>
      <c r="F430" s="15" t="b">
        <v>0</v>
      </c>
      <c r="G430" s="10" t="str">
        <f>ランキング1000曲!E949</f>
        <v>五段</v>
      </c>
      <c r="H430" s="11" t="str">
        <f>ランキング1000曲!G949</f>
        <v>https://www.uta-net.com/song/7304/</v>
      </c>
    </row>
    <row r="431" spans="1:8" ht="30" customHeight="1">
      <c r="A431" s="7">
        <v>944</v>
      </c>
      <c r="B431" s="9" t="s">
        <v>627</v>
      </c>
      <c r="C431" s="9" t="s">
        <v>628</v>
      </c>
      <c r="D431" s="8">
        <v>32319</v>
      </c>
      <c r="E431" s="2" t="s">
        <v>13</v>
      </c>
      <c r="F431" s="15" t="b">
        <v>1</v>
      </c>
      <c r="G431" s="10" t="str">
        <f>ランキング1000曲!E950</f>
        <v>五段</v>
      </c>
      <c r="H431" s="11" t="str">
        <f>ランキング1000曲!G950</f>
        <v>https://www.uta-net.com/song/3118/</v>
      </c>
    </row>
    <row r="432" spans="1:8" ht="42" customHeight="1">
      <c r="A432" s="7">
        <v>945</v>
      </c>
      <c r="B432" s="9" t="s">
        <v>629</v>
      </c>
      <c r="C432" s="9" t="s">
        <v>630</v>
      </c>
      <c r="D432" s="8">
        <v>38595</v>
      </c>
      <c r="E432" s="2" t="s">
        <v>13</v>
      </c>
      <c r="F432" s="15" t="b">
        <v>0</v>
      </c>
      <c r="G432" s="10" t="str">
        <f>ランキング1000曲!E951</f>
        <v>五段</v>
      </c>
      <c r="H432" s="11" t="str">
        <f>ランキング1000曲!G951</f>
        <v>https://www.uta-net.com/song/29674/</v>
      </c>
    </row>
    <row r="433" spans="1:8" ht="30" customHeight="1">
      <c r="A433" s="7">
        <v>946</v>
      </c>
      <c r="B433" s="9" t="s">
        <v>631</v>
      </c>
      <c r="C433" s="9" t="s">
        <v>632</v>
      </c>
      <c r="D433" s="8">
        <v>38210</v>
      </c>
      <c r="E433" s="2" t="s">
        <v>13</v>
      </c>
      <c r="F433" s="15" t="b">
        <v>0</v>
      </c>
      <c r="G433" s="10" t="str">
        <f>ランキング1000曲!E952</f>
        <v>五段</v>
      </c>
      <c r="H433" s="11" t="str">
        <f>ランキング1000曲!G952</f>
        <v>https://www.uta-net.com/song/19569/</v>
      </c>
    </row>
    <row r="434" spans="1:8" ht="30" customHeight="1">
      <c r="A434" s="7">
        <v>947</v>
      </c>
      <c r="B434" s="9" t="s">
        <v>633</v>
      </c>
      <c r="C434" s="9" t="s">
        <v>377</v>
      </c>
      <c r="D434" s="8">
        <v>36194</v>
      </c>
      <c r="E434" s="2" t="s">
        <v>13</v>
      </c>
      <c r="F434" s="15" t="b">
        <v>0</v>
      </c>
      <c r="G434" s="10" t="str">
        <f>ランキング1000曲!E953</f>
        <v>五段</v>
      </c>
      <c r="H434" s="11" t="str">
        <f>ランキング1000曲!G953</f>
        <v>https://www.uta-net.com/song/10920/</v>
      </c>
    </row>
    <row r="435" spans="1:8" ht="30" customHeight="1">
      <c r="A435" s="7">
        <v>950</v>
      </c>
      <c r="B435" s="9" t="s">
        <v>634</v>
      </c>
      <c r="C435" s="9" t="s">
        <v>65</v>
      </c>
      <c r="D435" s="8">
        <v>39470</v>
      </c>
      <c r="E435" s="2" t="s">
        <v>13</v>
      </c>
      <c r="F435" s="15" t="b">
        <v>0</v>
      </c>
      <c r="G435" s="10" t="str">
        <f>ランキング1000曲!E956</f>
        <v>五段</v>
      </c>
      <c r="H435" s="11" t="str">
        <f>ランキング1000曲!G956</f>
        <v>https://www.uta-net.com/song/117731/</v>
      </c>
    </row>
    <row r="436" spans="1:8" ht="30" customHeight="1">
      <c r="A436" s="7">
        <v>952</v>
      </c>
      <c r="B436" s="9" t="s">
        <v>635</v>
      </c>
      <c r="C436" s="9" t="s">
        <v>412</v>
      </c>
      <c r="D436" s="8">
        <v>40149</v>
      </c>
      <c r="E436" s="2" t="s">
        <v>13</v>
      </c>
      <c r="F436" s="15" t="b">
        <v>0</v>
      </c>
      <c r="G436" s="10" t="str">
        <f>ランキング1000曲!E958</f>
        <v>五段</v>
      </c>
      <c r="H436" s="11" t="str">
        <f>ランキング1000曲!G958</f>
        <v>https://www.uta-net.com/song/87802/</v>
      </c>
    </row>
    <row r="437" spans="1:8" ht="30" customHeight="1">
      <c r="A437" s="7">
        <v>954</v>
      </c>
      <c r="B437" s="9" t="s">
        <v>636</v>
      </c>
      <c r="C437" s="9" t="s">
        <v>637</v>
      </c>
      <c r="D437" s="8">
        <v>35155</v>
      </c>
      <c r="E437" s="2" t="s">
        <v>13</v>
      </c>
      <c r="F437" s="15" t="b">
        <v>1</v>
      </c>
      <c r="G437" s="10" t="str">
        <f>ランキング1000曲!E960</f>
        <v>五段</v>
      </c>
      <c r="H437" s="11" t="str">
        <f>ランキング1000曲!G960</f>
        <v>https://www.uta-net.com/song/8900/</v>
      </c>
    </row>
    <row r="438" spans="1:8" ht="42" customHeight="1">
      <c r="A438" s="7">
        <v>955</v>
      </c>
      <c r="B438" s="9" t="s">
        <v>638</v>
      </c>
      <c r="C438" s="9" t="s">
        <v>639</v>
      </c>
      <c r="D438" s="8">
        <v>38308</v>
      </c>
      <c r="E438" s="2" t="s">
        <v>13</v>
      </c>
      <c r="F438" s="15" t="b">
        <v>0</v>
      </c>
      <c r="G438" s="10" t="str">
        <f>ランキング1000曲!E961</f>
        <v>五段</v>
      </c>
      <c r="H438" s="11" t="str">
        <f>ランキング1000曲!G961</f>
        <v>https://www.uta-net.com/song/20919/</v>
      </c>
    </row>
    <row r="439" spans="1:8" ht="30" customHeight="1">
      <c r="A439" s="7">
        <v>956</v>
      </c>
      <c r="B439" s="9" t="s">
        <v>640</v>
      </c>
      <c r="C439" s="9" t="s">
        <v>393</v>
      </c>
      <c r="D439" s="8">
        <v>39106</v>
      </c>
      <c r="E439" s="2" t="s">
        <v>13</v>
      </c>
      <c r="F439" s="15" t="b">
        <v>1</v>
      </c>
      <c r="G439" s="10" t="str">
        <f>ランキング1000曲!E962</f>
        <v>五段</v>
      </c>
      <c r="H439" s="11" t="str">
        <f>ランキング1000曲!G962</f>
        <v>https://www.uta-net.com/song/51319/</v>
      </c>
    </row>
    <row r="440" spans="1:8" ht="30" customHeight="1">
      <c r="A440" s="7">
        <v>959</v>
      </c>
      <c r="B440" s="9" t="s">
        <v>641</v>
      </c>
      <c r="C440" s="9" t="s">
        <v>268</v>
      </c>
      <c r="D440" s="8">
        <v>38651</v>
      </c>
      <c r="E440" s="2" t="s">
        <v>13</v>
      </c>
      <c r="F440" s="15" t="b">
        <v>1</v>
      </c>
      <c r="G440" s="10" t="str">
        <f>ランキング1000曲!E965</f>
        <v>五段</v>
      </c>
      <c r="H440" s="11" t="str">
        <f>ランキング1000曲!G965</f>
        <v>https://www.uta-net.com/song/35296/</v>
      </c>
    </row>
    <row r="441" spans="1:8" ht="30" customHeight="1">
      <c r="A441" s="7">
        <v>960</v>
      </c>
      <c r="B441" s="9" t="s">
        <v>642</v>
      </c>
      <c r="C441" s="9" t="s">
        <v>19</v>
      </c>
      <c r="D441" s="8">
        <v>37202</v>
      </c>
      <c r="E441" s="2" t="s">
        <v>13</v>
      </c>
      <c r="F441" s="15" t="b">
        <v>1</v>
      </c>
      <c r="G441" s="10" t="str">
        <f>ランキング1000曲!E966</f>
        <v>五段</v>
      </c>
      <c r="H441" s="11" t="str">
        <f>ランキング1000曲!G966</f>
        <v>https://www.uta-net.com/song/14876/</v>
      </c>
    </row>
    <row r="442" spans="1:8" ht="30" customHeight="1">
      <c r="A442" s="7">
        <v>962</v>
      </c>
      <c r="B442" s="9" t="s">
        <v>643</v>
      </c>
      <c r="C442" s="9" t="s">
        <v>184</v>
      </c>
      <c r="D442" s="8">
        <v>39610</v>
      </c>
      <c r="E442" s="2" t="s">
        <v>13</v>
      </c>
      <c r="F442" s="15" t="b">
        <v>0</v>
      </c>
      <c r="G442" s="10" t="str">
        <f>ランキング1000曲!E968</f>
        <v>五段</v>
      </c>
      <c r="H442" s="11" t="str">
        <f>ランキング1000曲!G968</f>
        <v>https://www.uta-net.com/song/65744/</v>
      </c>
    </row>
    <row r="443" spans="1:8" ht="30" customHeight="1">
      <c r="A443" s="7">
        <v>963</v>
      </c>
      <c r="B443" s="9" t="s">
        <v>644</v>
      </c>
      <c r="C443" s="9" t="s">
        <v>426</v>
      </c>
      <c r="D443" s="8">
        <v>31553</v>
      </c>
      <c r="E443" s="2" t="s">
        <v>13</v>
      </c>
      <c r="F443" s="15" t="b">
        <v>0</v>
      </c>
      <c r="G443" s="10" t="str">
        <f>ランキング1000曲!E969</f>
        <v>五段</v>
      </c>
      <c r="H443" s="11" t="str">
        <f>ランキング1000曲!G969</f>
        <v>https://www.uta-net.com/song/1937/</v>
      </c>
    </row>
    <row r="444" spans="1:8" ht="42" customHeight="1">
      <c r="A444" s="7">
        <v>964</v>
      </c>
      <c r="B444" s="9" t="s">
        <v>645</v>
      </c>
      <c r="C444" s="9" t="s">
        <v>67</v>
      </c>
      <c r="D444" s="8">
        <v>32834</v>
      </c>
      <c r="E444" s="2" t="s">
        <v>13</v>
      </c>
      <c r="F444" s="15" t="b">
        <v>0</v>
      </c>
      <c r="G444" s="10" t="str">
        <f>ランキング1000曲!E970</f>
        <v>五段</v>
      </c>
      <c r="H444" s="11" t="str">
        <f>ランキング1000曲!G970</f>
        <v>https://www.uta-net.com/song/838/</v>
      </c>
    </row>
    <row r="445" spans="1:8" ht="30" customHeight="1">
      <c r="A445" s="7">
        <v>966</v>
      </c>
      <c r="B445" s="9" t="s">
        <v>646</v>
      </c>
      <c r="C445" s="9" t="s">
        <v>148</v>
      </c>
      <c r="D445" s="8">
        <v>38679</v>
      </c>
      <c r="E445" s="2" t="s">
        <v>13</v>
      </c>
      <c r="F445" s="15" t="b">
        <v>0</v>
      </c>
      <c r="G445" s="10" t="str">
        <f>ランキング1000曲!E972</f>
        <v>五段</v>
      </c>
      <c r="H445" s="11" t="str">
        <f>ランキング1000曲!G972</f>
        <v>https://www.uta-net.com/song/2624/</v>
      </c>
    </row>
    <row r="446" spans="1:8" ht="42" customHeight="1">
      <c r="A446" s="7">
        <v>967</v>
      </c>
      <c r="B446" s="9" t="s">
        <v>274</v>
      </c>
      <c r="C446" s="9" t="s">
        <v>310</v>
      </c>
      <c r="D446" s="8">
        <v>39862</v>
      </c>
      <c r="E446" s="2" t="s">
        <v>13</v>
      </c>
      <c r="F446" s="15" t="b">
        <v>0</v>
      </c>
      <c r="G446" s="10" t="str">
        <f>ランキング1000曲!E973</f>
        <v>五段</v>
      </c>
      <c r="H446" s="11" t="str">
        <f>ランキング1000曲!G973</f>
        <v>https://www.uta-net.com/song/75323/</v>
      </c>
    </row>
    <row r="447" spans="1:8" ht="30" customHeight="1">
      <c r="A447" s="7">
        <v>969</v>
      </c>
      <c r="B447" s="9" t="s">
        <v>647</v>
      </c>
      <c r="C447" s="9" t="s">
        <v>648</v>
      </c>
      <c r="D447" s="8">
        <v>36701</v>
      </c>
      <c r="E447" s="2" t="s">
        <v>13</v>
      </c>
      <c r="F447" s="15" t="b">
        <v>1</v>
      </c>
      <c r="G447" s="10" t="str">
        <f>ランキング1000曲!E975</f>
        <v>五段</v>
      </c>
      <c r="H447" s="11" t="str">
        <f>ランキング1000曲!G975</f>
        <v>https://www.uta-net.com/song/4864/</v>
      </c>
    </row>
    <row r="448" spans="1:8" ht="30" customHeight="1">
      <c r="A448" s="7">
        <v>970</v>
      </c>
      <c r="B448" s="9" t="s">
        <v>649</v>
      </c>
      <c r="C448" s="9" t="s">
        <v>650</v>
      </c>
      <c r="D448" s="8">
        <v>39911</v>
      </c>
      <c r="E448" s="2" t="s">
        <v>13</v>
      </c>
      <c r="F448" s="15" t="b">
        <v>0</v>
      </c>
      <c r="G448" s="10" t="str">
        <f>ランキング1000曲!E976</f>
        <v>五段</v>
      </c>
      <c r="H448" s="11" t="str">
        <f>ランキング1000曲!G976</f>
        <v>https://www.uta-net.com/song/77316/</v>
      </c>
    </row>
    <row r="449" spans="1:8" ht="30" customHeight="1">
      <c r="A449" s="7">
        <v>972</v>
      </c>
      <c r="B449" s="9" t="s">
        <v>651</v>
      </c>
      <c r="C449" s="9" t="s">
        <v>652</v>
      </c>
      <c r="D449" s="8">
        <v>35370</v>
      </c>
      <c r="E449" s="2" t="s">
        <v>13</v>
      </c>
      <c r="F449" s="15" t="b">
        <v>1</v>
      </c>
      <c r="G449" s="10" t="str">
        <f>ランキング1000曲!E978</f>
        <v>五段</v>
      </c>
      <c r="H449" s="11" t="str">
        <f>ランキング1000曲!G978</f>
        <v>https://www.uta-net.com/song/3491/</v>
      </c>
    </row>
    <row r="450" spans="1:8" ht="42" customHeight="1">
      <c r="A450" s="7">
        <v>975</v>
      </c>
      <c r="B450" s="9" t="s">
        <v>653</v>
      </c>
      <c r="C450" s="9" t="s">
        <v>654</v>
      </c>
      <c r="D450" s="8">
        <v>39351</v>
      </c>
      <c r="E450" s="2" t="s">
        <v>13</v>
      </c>
      <c r="F450" s="15" t="b">
        <v>0</v>
      </c>
      <c r="G450" s="10" t="str">
        <f>ランキング1000曲!E981</f>
        <v>五段</v>
      </c>
      <c r="H450" s="11" t="str">
        <f>ランキング1000曲!G981</f>
        <v>https://www.uta-net.com/song/57360/</v>
      </c>
    </row>
    <row r="451" spans="1:8" ht="30" customHeight="1">
      <c r="A451" s="7">
        <v>976</v>
      </c>
      <c r="B451" s="9" t="s">
        <v>655</v>
      </c>
      <c r="C451" s="9" t="s">
        <v>656</v>
      </c>
      <c r="D451" s="8">
        <v>38175</v>
      </c>
      <c r="E451" s="2" t="s">
        <v>13</v>
      </c>
      <c r="F451" s="15" t="b">
        <v>0</v>
      </c>
      <c r="G451" s="10" t="str">
        <f>ランキング1000曲!E982</f>
        <v>五段</v>
      </c>
      <c r="H451" s="11" t="str">
        <f>ランキング1000曲!G982</f>
        <v>https://www.uta-net.com/song/19305/</v>
      </c>
    </row>
    <row r="452" spans="1:8" ht="30" customHeight="1">
      <c r="A452" s="7">
        <v>982</v>
      </c>
      <c r="B452" s="9" t="s">
        <v>657</v>
      </c>
      <c r="C452" s="9" t="s">
        <v>45</v>
      </c>
      <c r="D452" s="8">
        <v>38035</v>
      </c>
      <c r="E452" s="2" t="s">
        <v>13</v>
      </c>
      <c r="F452" s="15" t="b">
        <v>0</v>
      </c>
      <c r="G452" s="10" t="str">
        <f>ランキング1000曲!E988</f>
        <v>五段</v>
      </c>
      <c r="H452" s="11" t="str">
        <f>ランキング1000曲!G988</f>
        <v>https://www.uta-net.com/song/18714/</v>
      </c>
    </row>
    <row r="453" spans="1:8" ht="30" customHeight="1">
      <c r="A453" s="7">
        <v>983</v>
      </c>
      <c r="B453" s="9" t="s">
        <v>658</v>
      </c>
      <c r="C453" s="9" t="s">
        <v>29</v>
      </c>
      <c r="D453" s="8">
        <v>38987</v>
      </c>
      <c r="E453" s="2" t="s">
        <v>13</v>
      </c>
      <c r="F453" s="15" t="b">
        <v>0</v>
      </c>
      <c r="G453" s="10" t="str">
        <f>ランキング1000曲!E989</f>
        <v>五段</v>
      </c>
      <c r="H453" s="11" t="str">
        <f>ランキング1000曲!G989</f>
        <v>https://www.uta-net.com/song/13896/</v>
      </c>
    </row>
    <row r="454" spans="1:8" ht="30" customHeight="1">
      <c r="A454" s="7">
        <v>984</v>
      </c>
      <c r="B454" s="9" t="s">
        <v>659</v>
      </c>
      <c r="C454" s="9" t="s">
        <v>29</v>
      </c>
      <c r="D454" s="8">
        <v>39057</v>
      </c>
      <c r="E454" s="2" t="s">
        <v>13</v>
      </c>
      <c r="F454" s="15" t="b">
        <v>0</v>
      </c>
      <c r="G454" s="10" t="str">
        <f>ランキング1000曲!E990</f>
        <v>五段</v>
      </c>
      <c r="H454" s="11" t="str">
        <f>ランキング1000曲!G990</f>
        <v>https://www.uta-net.com/song/13981/</v>
      </c>
    </row>
    <row r="455" spans="1:8" ht="30" customHeight="1">
      <c r="A455" s="7">
        <v>985</v>
      </c>
      <c r="B455" s="9" t="s">
        <v>660</v>
      </c>
      <c r="C455" s="9" t="s">
        <v>404</v>
      </c>
      <c r="D455" s="8">
        <v>36376</v>
      </c>
      <c r="E455" s="2" t="s">
        <v>13</v>
      </c>
      <c r="F455" s="15" t="b">
        <v>0</v>
      </c>
      <c r="G455" s="10" t="str">
        <f>ランキング1000曲!E991</f>
        <v>五段</v>
      </c>
      <c r="H455" s="11" t="str">
        <f>ランキング1000曲!G991</f>
        <v>https://www.uta-net.com/song/13153/</v>
      </c>
    </row>
    <row r="456" spans="1:8" ht="30" customHeight="1">
      <c r="A456" s="7">
        <v>992</v>
      </c>
      <c r="B456" s="9" t="s">
        <v>661</v>
      </c>
      <c r="C456" s="9" t="s">
        <v>662</v>
      </c>
      <c r="D456" s="8">
        <v>28799</v>
      </c>
      <c r="E456" s="2" t="s">
        <v>13</v>
      </c>
      <c r="F456" s="15" t="b">
        <v>0</v>
      </c>
      <c r="G456" s="10" t="str">
        <f>ランキング1000曲!E998</f>
        <v>五段</v>
      </c>
      <c r="H456" s="11" t="str">
        <f>ランキング1000曲!G998</f>
        <v>https://www.uta-net.com/song/1133/</v>
      </c>
    </row>
    <row r="457" spans="1:8" ht="30" customHeight="1">
      <c r="A457" s="7">
        <v>996</v>
      </c>
      <c r="B457" s="9" t="s">
        <v>663</v>
      </c>
      <c r="C457" s="9" t="s">
        <v>664</v>
      </c>
      <c r="D457" s="8">
        <v>38374</v>
      </c>
      <c r="E457" s="2" t="s">
        <v>13</v>
      </c>
      <c r="F457" s="15" t="b">
        <v>0</v>
      </c>
      <c r="G457" s="10" t="str">
        <f>ランキング1000曲!E1002</f>
        <v>五段</v>
      </c>
      <c r="H457" s="11" t="str">
        <f>ランキング1000曲!G1002</f>
        <v>https://www.uta-net.com/song/26137/</v>
      </c>
    </row>
    <row r="458" spans="1:8" ht="30" customHeight="1">
      <c r="A458" s="7">
        <v>997</v>
      </c>
      <c r="B458" s="9" t="s">
        <v>665</v>
      </c>
      <c r="C458" s="9" t="s">
        <v>443</v>
      </c>
      <c r="D458" s="8">
        <v>35984</v>
      </c>
      <c r="E458" s="2" t="s">
        <v>13</v>
      </c>
      <c r="F458" s="15" t="b">
        <v>0</v>
      </c>
      <c r="G458" s="10" t="str">
        <f>ランキング1000曲!E1003</f>
        <v>五段</v>
      </c>
      <c r="H458" s="11" t="str">
        <f>ランキング1000曲!G1003</f>
        <v>https://www.uta-net.com/song/10418/</v>
      </c>
    </row>
    <row r="459" spans="1:8" ht="30" customHeight="1">
      <c r="A459" s="7">
        <v>998</v>
      </c>
      <c r="B459" s="9" t="s">
        <v>666</v>
      </c>
      <c r="C459" s="9" t="s">
        <v>667</v>
      </c>
      <c r="D459" s="8">
        <v>37433</v>
      </c>
      <c r="E459" s="2" t="s">
        <v>13</v>
      </c>
      <c r="F459" s="15" t="b">
        <v>1</v>
      </c>
      <c r="G459" s="10" t="str">
        <f>ランキング1000曲!E1004</f>
        <v>五段</v>
      </c>
      <c r="H459" s="11" t="str">
        <f>ランキング1000曲!G1004</f>
        <v>https://www.uta-net.com/song/15759/</v>
      </c>
    </row>
    <row r="460" spans="1:8" ht="30" customHeight="1">
      <c r="A460" s="7">
        <v>999</v>
      </c>
      <c r="B460" s="9" t="s">
        <v>668</v>
      </c>
      <c r="C460" s="9" t="s">
        <v>247</v>
      </c>
      <c r="D460" s="8">
        <v>38932</v>
      </c>
      <c r="E460" s="2" t="s">
        <v>13</v>
      </c>
      <c r="F460" s="15" t="b">
        <v>0</v>
      </c>
      <c r="G460" s="10" t="str">
        <f>ランキング1000曲!E1005</f>
        <v>五段</v>
      </c>
      <c r="H460" s="11" t="str">
        <f>ランキング1000曲!G1005</f>
        <v>https://www.uta-net.com/song/44007/</v>
      </c>
    </row>
    <row r="461" spans="1:8" ht="30" customHeight="1">
      <c r="A461" s="7">
        <v>1000</v>
      </c>
      <c r="B461" s="9" t="s">
        <v>669</v>
      </c>
      <c r="C461" s="9" t="s">
        <v>261</v>
      </c>
      <c r="D461" s="8">
        <v>36474</v>
      </c>
      <c r="E461" s="2" t="s">
        <v>13</v>
      </c>
      <c r="F461" s="15" t="b">
        <v>0</v>
      </c>
      <c r="G461" s="10" t="str">
        <f>ランキング1000曲!E1006</f>
        <v>五段</v>
      </c>
      <c r="H461" s="11" t="str">
        <f>ランキング1000曲!G1006</f>
        <v>https://www.uta-net.com/song/12836/</v>
      </c>
    </row>
  </sheetData>
  <phoneticPr fontId="7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6"/>
  <sheetViews>
    <sheetView showGridLines="0" workbookViewId="0">
      <pane ySplit="6" topLeftCell="A7" activePane="bottomLeft" state="frozen"/>
      <selection pane="bottomLeft"/>
    </sheetView>
  </sheetViews>
  <sheetFormatPr baseColWidth="10" defaultColWidth="8.83203125" defaultRowHeight="14"/>
  <cols>
    <col min="1" max="1" width="9" customWidth="1"/>
    <col min="2" max="2" width="56" customWidth="1"/>
    <col min="3" max="3" width="30" customWidth="1"/>
    <col min="4" max="4" width="15" customWidth="1"/>
    <col min="5" max="5" width="13" customWidth="1"/>
    <col min="6" max="6" width="15" customWidth="1"/>
    <col min="7" max="7" width="48" customWidth="1"/>
    <col min="8" max="8" width="16" customWidth="1"/>
    <col min="10" max="10" width="14" customWidth="1"/>
    <col min="11" max="11" width="8" customWidth="1"/>
  </cols>
  <sheetData>
    <row r="1" spans="1:11" ht="10" customHeight="1">
      <c r="A1" s="2"/>
      <c r="B1" s="2"/>
      <c r="C1" s="2"/>
      <c r="D1" s="2"/>
      <c r="E1" s="2"/>
      <c r="F1" s="2"/>
      <c r="G1" s="2"/>
      <c r="H1" s="2"/>
    </row>
    <row r="2" spans="1:11" ht="30" customHeight="1">
      <c r="A2" s="3"/>
      <c r="B2" s="3" t="s">
        <v>670</v>
      </c>
      <c r="C2" s="4"/>
      <c r="D2" s="4"/>
      <c r="E2" s="4"/>
      <c r="F2" s="4"/>
      <c r="G2" s="4"/>
      <c r="H2" s="4"/>
      <c r="J2" s="1" t="s">
        <v>671</v>
      </c>
      <c r="K2" s="1">
        <v>1000</v>
      </c>
    </row>
    <row r="3" spans="1:11" ht="42" customHeight="1">
      <c r="A3" s="5"/>
      <c r="B3" s="12" t="s">
        <v>672</v>
      </c>
      <c r="C3" s="5"/>
      <c r="D3" s="5"/>
      <c r="E3" s="5"/>
      <c r="F3" s="5"/>
      <c r="G3" s="5"/>
      <c r="H3" s="5"/>
      <c r="J3" s="1" t="s">
        <v>673</v>
      </c>
      <c r="K3" s="1">
        <f>COUNTIFS(F7:F1006,"採用候補")</f>
        <v>545</v>
      </c>
    </row>
    <row r="4" spans="1:11" ht="48" customHeight="1">
      <c r="A4" s="5"/>
      <c r="B4" s="12" t="s">
        <v>674</v>
      </c>
      <c r="C4" s="5"/>
      <c r="D4" s="5"/>
      <c r="E4" s="5"/>
      <c r="F4" s="5"/>
      <c r="G4" s="5"/>
      <c r="H4" s="5"/>
      <c r="J4" s="1" t="s">
        <v>675</v>
      </c>
      <c r="K4" s="1">
        <f>COUNTIFS(F7:F1006,"除外")</f>
        <v>455</v>
      </c>
    </row>
    <row r="5" spans="1:11" ht="10" customHeight="1">
      <c r="A5" s="2"/>
      <c r="B5" s="2"/>
      <c r="C5" s="2"/>
      <c r="D5" s="2"/>
      <c r="E5" s="2"/>
      <c r="F5" s="2"/>
      <c r="G5" s="2"/>
      <c r="H5" s="2"/>
    </row>
    <row r="6" spans="1:11" ht="30" customHeight="1">
      <c r="A6" s="6" t="s">
        <v>4</v>
      </c>
      <c r="B6" s="6" t="s">
        <v>5</v>
      </c>
      <c r="C6" s="6" t="s">
        <v>6</v>
      </c>
      <c r="D6" s="6" t="s">
        <v>7</v>
      </c>
      <c r="E6" s="6" t="s">
        <v>676</v>
      </c>
      <c r="F6" s="6" t="s">
        <v>677</v>
      </c>
      <c r="G6" s="6" t="s">
        <v>10</v>
      </c>
      <c r="H6" s="6" t="s">
        <v>678</v>
      </c>
    </row>
    <row r="7" spans="1:11" ht="30" customHeight="1">
      <c r="A7" s="7">
        <v>1</v>
      </c>
      <c r="B7" s="9" t="s">
        <v>148</v>
      </c>
      <c r="C7" s="9" t="s">
        <v>679</v>
      </c>
      <c r="D7" s="8">
        <v>42326</v>
      </c>
      <c r="E7" s="10" t="str">
        <f t="shared" ref="E7:E70" si="0">CHOOSE(INT((A7-1)/100)+1,"5級","4級","3級","2級","1級","初段","二段","三段","四段","五段")</f>
        <v>5級</v>
      </c>
      <c r="F7" s="10" t="str">
        <f t="shared" ref="F7:F70" si="1">IF(D7&gt;=DATE(2010,1,1),"採用候補","除外")</f>
        <v>採用候補</v>
      </c>
      <c r="G7" s="13" t="s">
        <v>680</v>
      </c>
      <c r="H7" s="14">
        <v>13793181</v>
      </c>
    </row>
    <row r="8" spans="1:11" ht="30" customHeight="1">
      <c r="A8" s="7">
        <v>2</v>
      </c>
      <c r="B8" s="9" t="s">
        <v>681</v>
      </c>
      <c r="C8" s="9" t="s">
        <v>682</v>
      </c>
      <c r="D8" s="8">
        <v>43173</v>
      </c>
      <c r="E8" s="10" t="str">
        <f t="shared" si="0"/>
        <v>5級</v>
      </c>
      <c r="F8" s="10" t="str">
        <f t="shared" si="1"/>
        <v>採用候補</v>
      </c>
      <c r="G8" s="13" t="s">
        <v>683</v>
      </c>
      <c r="H8" s="14">
        <v>13479322</v>
      </c>
    </row>
    <row r="9" spans="1:11" ht="30" customHeight="1">
      <c r="A9" s="7">
        <v>3</v>
      </c>
      <c r="B9" s="9" t="s">
        <v>684</v>
      </c>
      <c r="C9" s="9" t="s">
        <v>685</v>
      </c>
      <c r="D9" s="8">
        <v>45298</v>
      </c>
      <c r="E9" s="10" t="str">
        <f t="shared" si="0"/>
        <v>5級</v>
      </c>
      <c r="F9" s="10" t="str">
        <f t="shared" si="1"/>
        <v>採用候補</v>
      </c>
      <c r="G9" s="13" t="s">
        <v>686</v>
      </c>
      <c r="H9" s="14">
        <v>9317438</v>
      </c>
    </row>
    <row r="10" spans="1:11" ht="30" customHeight="1">
      <c r="A10" s="7">
        <v>4</v>
      </c>
      <c r="B10" s="9" t="s">
        <v>687</v>
      </c>
      <c r="C10" s="9" t="s">
        <v>679</v>
      </c>
      <c r="D10" s="8">
        <v>40716</v>
      </c>
      <c r="E10" s="10" t="str">
        <f t="shared" si="0"/>
        <v>5級</v>
      </c>
      <c r="F10" s="10" t="str">
        <f t="shared" si="1"/>
        <v>採用候補</v>
      </c>
      <c r="G10" s="13" t="s">
        <v>688</v>
      </c>
      <c r="H10" s="14">
        <v>8240970</v>
      </c>
    </row>
    <row r="11" spans="1:11" ht="30" customHeight="1">
      <c r="A11" s="7">
        <v>5</v>
      </c>
      <c r="B11" s="9" t="s">
        <v>689</v>
      </c>
      <c r="C11" s="9" t="s">
        <v>56</v>
      </c>
      <c r="D11" s="8">
        <v>43334</v>
      </c>
      <c r="E11" s="10" t="str">
        <f t="shared" si="0"/>
        <v>5級</v>
      </c>
      <c r="F11" s="10" t="str">
        <f t="shared" si="1"/>
        <v>採用候補</v>
      </c>
      <c r="G11" s="13" t="s">
        <v>690</v>
      </c>
      <c r="H11" s="14">
        <v>8159653</v>
      </c>
    </row>
    <row r="12" spans="1:11" ht="30" customHeight="1">
      <c r="A12" s="7">
        <v>6</v>
      </c>
      <c r="B12" s="9" t="s">
        <v>11</v>
      </c>
      <c r="C12" s="9" t="s">
        <v>12</v>
      </c>
      <c r="D12" s="8">
        <v>39596</v>
      </c>
      <c r="E12" s="10" t="str">
        <f t="shared" si="0"/>
        <v>5級</v>
      </c>
      <c r="F12" s="10" t="str">
        <f t="shared" si="1"/>
        <v>除外</v>
      </c>
      <c r="G12" s="13" t="s">
        <v>691</v>
      </c>
      <c r="H12" s="14">
        <v>7942013</v>
      </c>
    </row>
    <row r="13" spans="1:11" ht="30" customHeight="1">
      <c r="A13" s="7">
        <v>7</v>
      </c>
      <c r="B13" s="9" t="s">
        <v>692</v>
      </c>
      <c r="C13" s="9" t="s">
        <v>693</v>
      </c>
      <c r="D13" s="8">
        <v>43600</v>
      </c>
      <c r="E13" s="10" t="str">
        <f t="shared" si="0"/>
        <v>5級</v>
      </c>
      <c r="F13" s="10" t="str">
        <f t="shared" si="1"/>
        <v>採用候補</v>
      </c>
      <c r="G13" s="13" t="s">
        <v>694</v>
      </c>
      <c r="H13" s="14">
        <v>7537932</v>
      </c>
    </row>
    <row r="14" spans="1:11" ht="30" customHeight="1">
      <c r="A14" s="7">
        <v>8</v>
      </c>
      <c r="B14" s="9" t="s">
        <v>695</v>
      </c>
      <c r="C14" s="9" t="s">
        <v>47</v>
      </c>
      <c r="D14" s="8">
        <v>42606</v>
      </c>
      <c r="E14" s="10" t="str">
        <f t="shared" si="0"/>
        <v>5級</v>
      </c>
      <c r="F14" s="10" t="str">
        <f t="shared" si="1"/>
        <v>採用候補</v>
      </c>
      <c r="G14" s="13" t="s">
        <v>696</v>
      </c>
      <c r="H14" s="14">
        <v>7291419</v>
      </c>
    </row>
    <row r="15" spans="1:11" ht="30" customHeight="1">
      <c r="A15" s="7">
        <v>9</v>
      </c>
      <c r="B15" s="9" t="s">
        <v>697</v>
      </c>
      <c r="C15" s="9" t="s">
        <v>698</v>
      </c>
      <c r="D15" s="8">
        <v>41395</v>
      </c>
      <c r="E15" s="10" t="str">
        <f t="shared" si="0"/>
        <v>5級</v>
      </c>
      <c r="F15" s="10" t="str">
        <f t="shared" si="1"/>
        <v>採用候補</v>
      </c>
      <c r="G15" s="13" t="s">
        <v>699</v>
      </c>
      <c r="H15" s="14">
        <v>6354753</v>
      </c>
    </row>
    <row r="16" spans="1:11" ht="30" customHeight="1">
      <c r="A16" s="7">
        <v>10</v>
      </c>
      <c r="B16" s="9" t="s">
        <v>700</v>
      </c>
      <c r="C16" s="9" t="s">
        <v>682</v>
      </c>
      <c r="D16" s="8">
        <v>42641</v>
      </c>
      <c r="E16" s="10" t="str">
        <f t="shared" si="0"/>
        <v>5級</v>
      </c>
      <c r="F16" s="10" t="str">
        <f t="shared" si="1"/>
        <v>採用候補</v>
      </c>
      <c r="G16" s="13" t="s">
        <v>701</v>
      </c>
      <c r="H16" s="14">
        <v>6149984</v>
      </c>
    </row>
    <row r="17" spans="1:8" ht="30" customHeight="1">
      <c r="A17" s="7">
        <v>11</v>
      </c>
      <c r="B17" s="9" t="s">
        <v>702</v>
      </c>
      <c r="C17" s="9" t="s">
        <v>679</v>
      </c>
      <c r="D17" s="8">
        <v>42690</v>
      </c>
      <c r="E17" s="10" t="str">
        <f t="shared" si="0"/>
        <v>5級</v>
      </c>
      <c r="F17" s="10" t="str">
        <f t="shared" si="1"/>
        <v>採用候補</v>
      </c>
      <c r="G17" s="13" t="s">
        <v>703</v>
      </c>
      <c r="H17" s="14">
        <v>6107928</v>
      </c>
    </row>
    <row r="18" spans="1:8" ht="30" customHeight="1">
      <c r="A18" s="7">
        <v>12</v>
      </c>
      <c r="B18" s="9" t="s">
        <v>704</v>
      </c>
      <c r="C18" s="9" t="s">
        <v>705</v>
      </c>
      <c r="D18" s="8">
        <v>43649</v>
      </c>
      <c r="E18" s="10" t="str">
        <f t="shared" si="0"/>
        <v>5級</v>
      </c>
      <c r="F18" s="10" t="str">
        <f t="shared" si="1"/>
        <v>採用候補</v>
      </c>
      <c r="G18" s="13" t="s">
        <v>706</v>
      </c>
      <c r="H18" s="14">
        <v>5802439</v>
      </c>
    </row>
    <row r="19" spans="1:8" ht="30" customHeight="1">
      <c r="A19" s="7">
        <v>13</v>
      </c>
      <c r="B19" s="9" t="s">
        <v>707</v>
      </c>
      <c r="C19" s="9" t="s">
        <v>708</v>
      </c>
      <c r="D19" s="8">
        <v>45028</v>
      </c>
      <c r="E19" s="10" t="str">
        <f t="shared" si="0"/>
        <v>5級</v>
      </c>
      <c r="F19" s="10" t="str">
        <f t="shared" si="1"/>
        <v>採用候補</v>
      </c>
      <c r="G19" s="13" t="s">
        <v>709</v>
      </c>
      <c r="H19" s="14">
        <v>5781876</v>
      </c>
    </row>
    <row r="20" spans="1:8" ht="30" customHeight="1">
      <c r="A20" s="7">
        <v>14</v>
      </c>
      <c r="B20" s="9" t="s">
        <v>710</v>
      </c>
      <c r="C20" s="9" t="s">
        <v>679</v>
      </c>
      <c r="D20" s="8">
        <v>42025</v>
      </c>
      <c r="E20" s="10" t="str">
        <f t="shared" si="0"/>
        <v>5級</v>
      </c>
      <c r="F20" s="10" t="str">
        <f t="shared" si="1"/>
        <v>採用候補</v>
      </c>
      <c r="G20" s="13" t="s">
        <v>711</v>
      </c>
      <c r="H20" s="14">
        <v>5625033</v>
      </c>
    </row>
    <row r="21" spans="1:8" ht="30" customHeight="1">
      <c r="A21" s="7">
        <v>15</v>
      </c>
      <c r="B21" s="9" t="s">
        <v>14</v>
      </c>
      <c r="C21" s="9" t="s">
        <v>15</v>
      </c>
      <c r="D21" s="8">
        <v>38056</v>
      </c>
      <c r="E21" s="10" t="str">
        <f t="shared" si="0"/>
        <v>5級</v>
      </c>
      <c r="F21" s="10" t="str">
        <f t="shared" si="1"/>
        <v>除外</v>
      </c>
      <c r="G21" s="13" t="s">
        <v>712</v>
      </c>
      <c r="H21" s="14">
        <v>5611738</v>
      </c>
    </row>
    <row r="22" spans="1:8" ht="30" customHeight="1">
      <c r="A22" s="7">
        <v>16</v>
      </c>
      <c r="B22" s="9" t="s">
        <v>713</v>
      </c>
      <c r="C22" s="9" t="s">
        <v>714</v>
      </c>
      <c r="D22" s="8">
        <v>43518</v>
      </c>
      <c r="E22" s="10" t="str">
        <f t="shared" si="0"/>
        <v>5級</v>
      </c>
      <c r="F22" s="10" t="str">
        <f t="shared" si="1"/>
        <v>採用候補</v>
      </c>
      <c r="G22" s="13" t="s">
        <v>715</v>
      </c>
      <c r="H22" s="14">
        <v>5491831</v>
      </c>
    </row>
    <row r="23" spans="1:8" ht="30" customHeight="1">
      <c r="A23" s="7">
        <v>17</v>
      </c>
      <c r="B23" s="9" t="s">
        <v>716</v>
      </c>
      <c r="C23" s="9" t="s">
        <v>679</v>
      </c>
      <c r="D23" s="8">
        <v>41451</v>
      </c>
      <c r="E23" s="10" t="str">
        <f t="shared" si="0"/>
        <v>5級</v>
      </c>
      <c r="F23" s="10" t="str">
        <f t="shared" si="1"/>
        <v>採用候補</v>
      </c>
      <c r="G23" s="13" t="s">
        <v>717</v>
      </c>
      <c r="H23" s="14">
        <v>5400690</v>
      </c>
    </row>
    <row r="24" spans="1:8" ht="30" customHeight="1">
      <c r="A24" s="7">
        <v>18</v>
      </c>
      <c r="B24" s="9" t="s">
        <v>16</v>
      </c>
      <c r="C24" s="9" t="s">
        <v>17</v>
      </c>
      <c r="D24" s="8">
        <v>37150</v>
      </c>
      <c r="E24" s="10" t="str">
        <f t="shared" si="0"/>
        <v>5級</v>
      </c>
      <c r="F24" s="10" t="str">
        <f t="shared" si="1"/>
        <v>除外</v>
      </c>
      <c r="G24" s="13" t="s">
        <v>718</v>
      </c>
      <c r="H24" s="14">
        <v>5247229</v>
      </c>
    </row>
    <row r="25" spans="1:8" ht="30" customHeight="1">
      <c r="A25" s="7">
        <v>19</v>
      </c>
      <c r="B25" s="9" t="s">
        <v>719</v>
      </c>
      <c r="C25" s="9" t="s">
        <v>155</v>
      </c>
      <c r="D25" s="8">
        <v>42256</v>
      </c>
      <c r="E25" s="10" t="str">
        <f t="shared" si="0"/>
        <v>5級</v>
      </c>
      <c r="F25" s="10" t="str">
        <f t="shared" si="1"/>
        <v>採用候補</v>
      </c>
      <c r="G25" s="13" t="s">
        <v>720</v>
      </c>
      <c r="H25" s="14">
        <v>5247184</v>
      </c>
    </row>
    <row r="26" spans="1:8" ht="30" customHeight="1">
      <c r="A26" s="7">
        <v>20</v>
      </c>
      <c r="B26" s="9" t="s">
        <v>721</v>
      </c>
      <c r="C26" s="9" t="s">
        <v>722</v>
      </c>
      <c r="D26" s="8">
        <v>43320</v>
      </c>
      <c r="E26" s="10" t="str">
        <f t="shared" si="0"/>
        <v>5級</v>
      </c>
      <c r="F26" s="10" t="str">
        <f t="shared" si="1"/>
        <v>採用候補</v>
      </c>
      <c r="G26" s="13" t="s">
        <v>723</v>
      </c>
      <c r="H26" s="14">
        <v>5192789</v>
      </c>
    </row>
    <row r="27" spans="1:8" ht="30" customHeight="1">
      <c r="A27" s="7">
        <v>21</v>
      </c>
      <c r="B27" s="9" t="s">
        <v>724</v>
      </c>
      <c r="C27" s="9" t="s">
        <v>679</v>
      </c>
      <c r="D27" s="8">
        <v>40975</v>
      </c>
      <c r="E27" s="10" t="str">
        <f t="shared" si="0"/>
        <v>5級</v>
      </c>
      <c r="F27" s="10" t="str">
        <f t="shared" si="1"/>
        <v>採用候補</v>
      </c>
      <c r="G27" s="13" t="s">
        <v>725</v>
      </c>
      <c r="H27" s="14">
        <v>4769893</v>
      </c>
    </row>
    <row r="28" spans="1:8" ht="30" customHeight="1">
      <c r="A28" s="7">
        <v>22</v>
      </c>
      <c r="B28" s="9" t="s">
        <v>726</v>
      </c>
      <c r="C28" s="9" t="s">
        <v>727</v>
      </c>
      <c r="D28" s="8">
        <v>42963</v>
      </c>
      <c r="E28" s="10" t="str">
        <f t="shared" si="0"/>
        <v>5級</v>
      </c>
      <c r="F28" s="10" t="str">
        <f t="shared" si="1"/>
        <v>採用候補</v>
      </c>
      <c r="G28" s="13" t="s">
        <v>728</v>
      </c>
      <c r="H28" s="14">
        <v>4754086</v>
      </c>
    </row>
    <row r="29" spans="1:8" ht="30" customHeight="1">
      <c r="A29" s="7">
        <v>23</v>
      </c>
      <c r="B29" s="9" t="s">
        <v>729</v>
      </c>
      <c r="C29" s="9" t="s">
        <v>693</v>
      </c>
      <c r="D29" s="8">
        <v>43873</v>
      </c>
      <c r="E29" s="10" t="str">
        <f t="shared" si="0"/>
        <v>5級</v>
      </c>
      <c r="F29" s="10" t="str">
        <f t="shared" si="1"/>
        <v>採用候補</v>
      </c>
      <c r="G29" s="13" t="s">
        <v>730</v>
      </c>
      <c r="H29" s="14">
        <v>4632251</v>
      </c>
    </row>
    <row r="30" spans="1:8" ht="30" customHeight="1">
      <c r="A30" s="7">
        <v>24</v>
      </c>
      <c r="B30" s="9" t="s">
        <v>731</v>
      </c>
      <c r="C30" s="9" t="s">
        <v>708</v>
      </c>
      <c r="D30" s="8">
        <v>43785</v>
      </c>
      <c r="E30" s="10" t="str">
        <f t="shared" si="0"/>
        <v>5級</v>
      </c>
      <c r="F30" s="10" t="str">
        <f t="shared" si="1"/>
        <v>採用候補</v>
      </c>
      <c r="G30" s="13" t="s">
        <v>732</v>
      </c>
      <c r="H30" s="14">
        <v>4596701</v>
      </c>
    </row>
    <row r="31" spans="1:8" ht="30" customHeight="1">
      <c r="A31" s="7">
        <v>25</v>
      </c>
      <c r="B31" s="9" t="s">
        <v>733</v>
      </c>
      <c r="C31" s="9" t="s">
        <v>679</v>
      </c>
      <c r="D31" s="8">
        <v>41108</v>
      </c>
      <c r="E31" s="10" t="str">
        <f t="shared" si="0"/>
        <v>5級</v>
      </c>
      <c r="F31" s="10" t="str">
        <f t="shared" si="1"/>
        <v>採用候補</v>
      </c>
      <c r="G31" s="13" t="s">
        <v>734</v>
      </c>
      <c r="H31" s="14">
        <v>4370957</v>
      </c>
    </row>
    <row r="32" spans="1:8" ht="42" customHeight="1">
      <c r="A32" s="7">
        <v>26</v>
      </c>
      <c r="B32" s="9" t="s">
        <v>735</v>
      </c>
      <c r="C32" s="9" t="s">
        <v>47</v>
      </c>
      <c r="D32" s="8">
        <v>42606</v>
      </c>
      <c r="E32" s="10" t="str">
        <f t="shared" si="0"/>
        <v>5級</v>
      </c>
      <c r="F32" s="10" t="str">
        <f t="shared" si="1"/>
        <v>採用候補</v>
      </c>
      <c r="G32" s="13" t="s">
        <v>736</v>
      </c>
      <c r="H32" s="14">
        <v>4355734</v>
      </c>
    </row>
    <row r="33" spans="1:8" ht="30" customHeight="1">
      <c r="A33" s="7">
        <v>27</v>
      </c>
      <c r="B33" s="9" t="s">
        <v>737</v>
      </c>
      <c r="C33" s="9" t="s">
        <v>738</v>
      </c>
      <c r="D33" s="8">
        <v>44129</v>
      </c>
      <c r="E33" s="10" t="str">
        <f t="shared" si="0"/>
        <v>5級</v>
      </c>
      <c r="F33" s="10" t="str">
        <f t="shared" si="1"/>
        <v>採用候補</v>
      </c>
      <c r="G33" s="13" t="s">
        <v>739</v>
      </c>
      <c r="H33" s="14">
        <v>4279547</v>
      </c>
    </row>
    <row r="34" spans="1:8" ht="30" customHeight="1">
      <c r="A34" s="7">
        <v>28</v>
      </c>
      <c r="B34" s="9" t="s">
        <v>740</v>
      </c>
      <c r="C34" s="9" t="s">
        <v>679</v>
      </c>
      <c r="D34" s="8">
        <v>43089</v>
      </c>
      <c r="E34" s="10" t="str">
        <f t="shared" si="0"/>
        <v>5級</v>
      </c>
      <c r="F34" s="10" t="str">
        <f t="shared" si="1"/>
        <v>採用候補</v>
      </c>
      <c r="G34" s="13" t="s">
        <v>741</v>
      </c>
      <c r="H34" s="14">
        <v>4242133</v>
      </c>
    </row>
    <row r="35" spans="1:8" ht="30" customHeight="1">
      <c r="A35" s="7">
        <v>29</v>
      </c>
      <c r="B35" s="9" t="s">
        <v>742</v>
      </c>
      <c r="C35" s="9" t="s">
        <v>682</v>
      </c>
      <c r="D35" s="8">
        <v>44048</v>
      </c>
      <c r="E35" s="10" t="str">
        <f t="shared" si="0"/>
        <v>5級</v>
      </c>
      <c r="F35" s="10" t="str">
        <f t="shared" si="1"/>
        <v>採用候補</v>
      </c>
      <c r="G35" s="13" t="s">
        <v>743</v>
      </c>
      <c r="H35" s="14">
        <v>3967586</v>
      </c>
    </row>
    <row r="36" spans="1:8" ht="30" customHeight="1">
      <c r="A36" s="7">
        <v>30</v>
      </c>
      <c r="B36" s="9" t="s">
        <v>18</v>
      </c>
      <c r="C36" s="9" t="s">
        <v>19</v>
      </c>
      <c r="D36" s="8">
        <v>39694</v>
      </c>
      <c r="E36" s="10" t="str">
        <f t="shared" si="0"/>
        <v>5級</v>
      </c>
      <c r="F36" s="10" t="str">
        <f t="shared" si="1"/>
        <v>除外</v>
      </c>
      <c r="G36" s="13" t="s">
        <v>744</v>
      </c>
      <c r="H36" s="14">
        <v>3937623</v>
      </c>
    </row>
    <row r="37" spans="1:8" ht="30" customHeight="1">
      <c r="A37" s="7">
        <v>31</v>
      </c>
      <c r="B37" s="9" t="s">
        <v>745</v>
      </c>
      <c r="C37" s="9" t="s">
        <v>746</v>
      </c>
      <c r="D37" s="8">
        <v>43327</v>
      </c>
      <c r="E37" s="10" t="str">
        <f t="shared" si="0"/>
        <v>5級</v>
      </c>
      <c r="F37" s="10" t="str">
        <f t="shared" si="1"/>
        <v>採用候補</v>
      </c>
      <c r="G37" s="13" t="s">
        <v>747</v>
      </c>
      <c r="H37" s="14">
        <v>3859536</v>
      </c>
    </row>
    <row r="38" spans="1:8" ht="30" customHeight="1">
      <c r="A38" s="7">
        <v>32</v>
      </c>
      <c r="B38" s="9" t="s">
        <v>748</v>
      </c>
      <c r="C38" s="9" t="s">
        <v>679</v>
      </c>
      <c r="D38" s="8">
        <v>43523</v>
      </c>
      <c r="E38" s="10" t="str">
        <f t="shared" si="0"/>
        <v>5級</v>
      </c>
      <c r="F38" s="10" t="str">
        <f t="shared" si="1"/>
        <v>採用候補</v>
      </c>
      <c r="G38" s="13" t="s">
        <v>749</v>
      </c>
      <c r="H38" s="14">
        <v>3818170</v>
      </c>
    </row>
    <row r="39" spans="1:8" ht="30" customHeight="1">
      <c r="A39" s="7">
        <v>33</v>
      </c>
      <c r="B39" s="9" t="s">
        <v>750</v>
      </c>
      <c r="C39" s="9" t="s">
        <v>751</v>
      </c>
      <c r="D39" s="8">
        <v>43576</v>
      </c>
      <c r="E39" s="10" t="str">
        <f t="shared" si="0"/>
        <v>5級</v>
      </c>
      <c r="F39" s="10" t="str">
        <f t="shared" si="1"/>
        <v>採用候補</v>
      </c>
      <c r="G39" s="13" t="s">
        <v>752</v>
      </c>
      <c r="H39" s="14">
        <v>3798017</v>
      </c>
    </row>
    <row r="40" spans="1:8" ht="30" customHeight="1">
      <c r="A40" s="7">
        <v>34</v>
      </c>
      <c r="B40" s="9" t="s">
        <v>20</v>
      </c>
      <c r="C40" s="9" t="s">
        <v>21</v>
      </c>
      <c r="D40" s="8">
        <v>37034</v>
      </c>
      <c r="E40" s="10" t="str">
        <f t="shared" si="0"/>
        <v>5級</v>
      </c>
      <c r="F40" s="10" t="str">
        <f t="shared" si="1"/>
        <v>除外</v>
      </c>
      <c r="G40" s="13" t="s">
        <v>753</v>
      </c>
      <c r="H40" s="14">
        <v>3764248</v>
      </c>
    </row>
    <row r="41" spans="1:8" ht="30" customHeight="1">
      <c r="A41" s="7">
        <v>35</v>
      </c>
      <c r="B41" s="9" t="s">
        <v>754</v>
      </c>
      <c r="C41" s="9" t="s">
        <v>755</v>
      </c>
      <c r="D41" s="8">
        <v>44127</v>
      </c>
      <c r="E41" s="10" t="str">
        <f t="shared" si="0"/>
        <v>5級</v>
      </c>
      <c r="F41" s="10" t="str">
        <f t="shared" si="1"/>
        <v>採用候補</v>
      </c>
      <c r="G41" s="13" t="s">
        <v>756</v>
      </c>
      <c r="H41" s="14">
        <v>3762591</v>
      </c>
    </row>
    <row r="42" spans="1:8" ht="30" customHeight="1">
      <c r="A42" s="7">
        <v>36</v>
      </c>
      <c r="B42" s="9" t="s">
        <v>757</v>
      </c>
      <c r="C42" s="9" t="s">
        <v>758</v>
      </c>
      <c r="D42" s="8">
        <v>40338</v>
      </c>
      <c r="E42" s="10" t="str">
        <f t="shared" si="0"/>
        <v>5級</v>
      </c>
      <c r="F42" s="10" t="str">
        <f t="shared" si="1"/>
        <v>採用候補</v>
      </c>
      <c r="G42" s="13" t="s">
        <v>759</v>
      </c>
      <c r="H42" s="14">
        <v>3672426</v>
      </c>
    </row>
    <row r="43" spans="1:8" ht="30" customHeight="1">
      <c r="A43" s="7">
        <v>37</v>
      </c>
      <c r="B43" s="9" t="s">
        <v>22</v>
      </c>
      <c r="C43" s="9" t="s">
        <v>23</v>
      </c>
      <c r="D43" s="8">
        <v>38055</v>
      </c>
      <c r="E43" s="10" t="str">
        <f t="shared" si="0"/>
        <v>5級</v>
      </c>
      <c r="F43" s="10" t="str">
        <f t="shared" si="1"/>
        <v>除外</v>
      </c>
      <c r="G43" s="13" t="s">
        <v>760</v>
      </c>
      <c r="H43" s="14">
        <v>3647600</v>
      </c>
    </row>
    <row r="44" spans="1:8" ht="30" customHeight="1">
      <c r="A44" s="7">
        <v>38</v>
      </c>
      <c r="B44" s="9" t="s">
        <v>761</v>
      </c>
      <c r="C44" s="9" t="s">
        <v>47</v>
      </c>
      <c r="D44" s="8">
        <v>42606</v>
      </c>
      <c r="E44" s="10" t="str">
        <f t="shared" si="0"/>
        <v>5級</v>
      </c>
      <c r="F44" s="10" t="str">
        <f t="shared" si="1"/>
        <v>採用候補</v>
      </c>
      <c r="G44" s="13" t="s">
        <v>762</v>
      </c>
      <c r="H44" s="14">
        <v>3640389</v>
      </c>
    </row>
    <row r="45" spans="1:8" ht="30" customHeight="1">
      <c r="A45" s="7">
        <v>39</v>
      </c>
      <c r="B45" s="9" t="s">
        <v>24</v>
      </c>
      <c r="C45" s="9" t="s">
        <v>25</v>
      </c>
      <c r="D45" s="8">
        <v>35165</v>
      </c>
      <c r="E45" s="10" t="str">
        <f t="shared" si="0"/>
        <v>5級</v>
      </c>
      <c r="F45" s="10" t="str">
        <f t="shared" si="1"/>
        <v>除外</v>
      </c>
      <c r="G45" s="13" t="s">
        <v>763</v>
      </c>
      <c r="H45" s="14">
        <v>3639592</v>
      </c>
    </row>
    <row r="46" spans="1:8" ht="30" customHeight="1">
      <c r="A46" s="7">
        <v>40</v>
      </c>
      <c r="B46" s="9" t="s">
        <v>764</v>
      </c>
      <c r="C46" s="9" t="s">
        <v>765</v>
      </c>
      <c r="D46" s="8">
        <v>43599</v>
      </c>
      <c r="E46" s="10" t="str">
        <f t="shared" si="0"/>
        <v>5級</v>
      </c>
      <c r="F46" s="10" t="str">
        <f t="shared" si="1"/>
        <v>採用候補</v>
      </c>
      <c r="G46" s="13" t="s">
        <v>766</v>
      </c>
      <c r="H46" s="14">
        <v>3613343</v>
      </c>
    </row>
    <row r="47" spans="1:8" ht="30" customHeight="1">
      <c r="A47" s="7">
        <v>41</v>
      </c>
      <c r="B47" s="9" t="s">
        <v>767</v>
      </c>
      <c r="C47" s="9" t="s">
        <v>705</v>
      </c>
      <c r="D47" s="8">
        <v>44118</v>
      </c>
      <c r="E47" s="10" t="str">
        <f t="shared" si="0"/>
        <v>5級</v>
      </c>
      <c r="F47" s="10" t="str">
        <f t="shared" si="1"/>
        <v>採用候補</v>
      </c>
      <c r="G47" s="13" t="s">
        <v>768</v>
      </c>
      <c r="H47" s="14">
        <v>3592233</v>
      </c>
    </row>
    <row r="48" spans="1:8" ht="30" customHeight="1">
      <c r="A48" s="7">
        <v>42</v>
      </c>
      <c r="B48" s="9" t="s">
        <v>769</v>
      </c>
      <c r="C48" s="9" t="s">
        <v>693</v>
      </c>
      <c r="D48" s="8">
        <v>44846</v>
      </c>
      <c r="E48" s="10" t="str">
        <f t="shared" si="0"/>
        <v>5級</v>
      </c>
      <c r="F48" s="10" t="str">
        <f t="shared" si="1"/>
        <v>採用候補</v>
      </c>
      <c r="G48" s="13" t="s">
        <v>770</v>
      </c>
      <c r="H48" s="14">
        <v>3450412</v>
      </c>
    </row>
    <row r="49" spans="1:8" ht="30" customHeight="1">
      <c r="A49" s="7">
        <v>43</v>
      </c>
      <c r="B49" s="9" t="s">
        <v>771</v>
      </c>
      <c r="C49" s="9" t="s">
        <v>772</v>
      </c>
      <c r="D49" s="8">
        <v>42081</v>
      </c>
      <c r="E49" s="10" t="str">
        <f t="shared" si="0"/>
        <v>5級</v>
      </c>
      <c r="F49" s="10" t="str">
        <f t="shared" si="1"/>
        <v>採用候補</v>
      </c>
      <c r="G49" s="13" t="s">
        <v>773</v>
      </c>
      <c r="H49" s="14">
        <v>3427060</v>
      </c>
    </row>
    <row r="50" spans="1:8" ht="30" customHeight="1">
      <c r="A50" s="7">
        <v>44</v>
      </c>
      <c r="B50" s="9" t="s">
        <v>774</v>
      </c>
      <c r="C50" s="9" t="s">
        <v>775</v>
      </c>
      <c r="D50" s="8">
        <v>41136</v>
      </c>
      <c r="E50" s="10" t="str">
        <f t="shared" si="0"/>
        <v>5級</v>
      </c>
      <c r="F50" s="10" t="str">
        <f t="shared" si="1"/>
        <v>採用候補</v>
      </c>
      <c r="G50" s="13" t="s">
        <v>776</v>
      </c>
      <c r="H50" s="14">
        <v>3420496</v>
      </c>
    </row>
    <row r="51" spans="1:8" ht="30" customHeight="1">
      <c r="A51" s="7">
        <v>45</v>
      </c>
      <c r="B51" s="9" t="s">
        <v>92</v>
      </c>
      <c r="C51" s="9" t="s">
        <v>777</v>
      </c>
      <c r="D51" s="8">
        <v>41962</v>
      </c>
      <c r="E51" s="10" t="str">
        <f t="shared" si="0"/>
        <v>5級</v>
      </c>
      <c r="F51" s="10" t="str">
        <f t="shared" si="1"/>
        <v>採用候補</v>
      </c>
      <c r="G51" s="13" t="s">
        <v>778</v>
      </c>
      <c r="H51" s="14">
        <v>3399384</v>
      </c>
    </row>
    <row r="52" spans="1:8" ht="30" customHeight="1">
      <c r="A52" s="7">
        <v>46</v>
      </c>
      <c r="B52" s="9" t="s">
        <v>779</v>
      </c>
      <c r="C52" s="9" t="s">
        <v>780</v>
      </c>
      <c r="D52" s="8">
        <v>42585</v>
      </c>
      <c r="E52" s="10" t="str">
        <f t="shared" si="0"/>
        <v>5級</v>
      </c>
      <c r="F52" s="10" t="str">
        <f t="shared" si="1"/>
        <v>採用候補</v>
      </c>
      <c r="G52" s="13" t="s">
        <v>781</v>
      </c>
      <c r="H52" s="14">
        <v>3377268</v>
      </c>
    </row>
    <row r="53" spans="1:8" ht="30" customHeight="1">
      <c r="A53" s="7">
        <v>47</v>
      </c>
      <c r="B53" s="9" t="s">
        <v>782</v>
      </c>
      <c r="C53" s="9" t="s">
        <v>682</v>
      </c>
      <c r="D53" s="8">
        <v>43719</v>
      </c>
      <c r="E53" s="10" t="str">
        <f t="shared" si="0"/>
        <v>5級</v>
      </c>
      <c r="F53" s="10" t="str">
        <f t="shared" si="1"/>
        <v>採用候補</v>
      </c>
      <c r="G53" s="13" t="s">
        <v>783</v>
      </c>
      <c r="H53" s="14">
        <v>3368173</v>
      </c>
    </row>
    <row r="54" spans="1:8" ht="30" customHeight="1">
      <c r="A54" s="7">
        <v>48</v>
      </c>
      <c r="B54" s="9" t="s">
        <v>784</v>
      </c>
      <c r="C54" s="9" t="s">
        <v>682</v>
      </c>
      <c r="D54" s="8">
        <v>43040</v>
      </c>
      <c r="E54" s="10" t="str">
        <f t="shared" si="0"/>
        <v>5級</v>
      </c>
      <c r="F54" s="10" t="str">
        <f t="shared" si="1"/>
        <v>採用候補</v>
      </c>
      <c r="G54" s="13" t="s">
        <v>785</v>
      </c>
      <c r="H54" s="14">
        <v>3367617</v>
      </c>
    </row>
    <row r="55" spans="1:8" ht="42" customHeight="1">
      <c r="A55" s="7">
        <v>49</v>
      </c>
      <c r="B55" s="9" t="s">
        <v>786</v>
      </c>
      <c r="C55" s="9" t="s">
        <v>787</v>
      </c>
      <c r="D55" s="8">
        <v>43313</v>
      </c>
      <c r="E55" s="10" t="str">
        <f t="shared" si="0"/>
        <v>5級</v>
      </c>
      <c r="F55" s="10" t="str">
        <f t="shared" si="1"/>
        <v>採用候補</v>
      </c>
      <c r="G55" s="13" t="s">
        <v>788</v>
      </c>
      <c r="H55" s="14">
        <v>3352023</v>
      </c>
    </row>
    <row r="56" spans="1:8" ht="30" customHeight="1">
      <c r="A56" s="7">
        <v>50</v>
      </c>
      <c r="B56" s="9" t="s">
        <v>789</v>
      </c>
      <c r="C56" s="9" t="s">
        <v>322</v>
      </c>
      <c r="D56" s="8">
        <v>40450</v>
      </c>
      <c r="E56" s="10" t="str">
        <f t="shared" si="0"/>
        <v>5級</v>
      </c>
      <c r="F56" s="10" t="str">
        <f t="shared" si="1"/>
        <v>採用候補</v>
      </c>
      <c r="G56" s="13" t="s">
        <v>790</v>
      </c>
      <c r="H56" s="14">
        <v>3321814</v>
      </c>
    </row>
    <row r="57" spans="1:8" ht="30" customHeight="1">
      <c r="A57" s="7">
        <v>51</v>
      </c>
      <c r="B57" s="9" t="s">
        <v>791</v>
      </c>
      <c r="C57" s="9" t="s">
        <v>404</v>
      </c>
      <c r="D57" s="8">
        <v>40786</v>
      </c>
      <c r="E57" s="10" t="str">
        <f t="shared" si="0"/>
        <v>5級</v>
      </c>
      <c r="F57" s="10" t="str">
        <f t="shared" si="1"/>
        <v>採用候補</v>
      </c>
      <c r="G57" s="13" t="s">
        <v>792</v>
      </c>
      <c r="H57" s="14">
        <v>3149627</v>
      </c>
    </row>
    <row r="58" spans="1:8" ht="30" customHeight="1">
      <c r="A58" s="7">
        <v>52</v>
      </c>
      <c r="B58" s="9" t="s">
        <v>26</v>
      </c>
      <c r="C58" s="9" t="s">
        <v>27</v>
      </c>
      <c r="D58" s="8">
        <v>36782</v>
      </c>
      <c r="E58" s="10" t="str">
        <f t="shared" si="0"/>
        <v>5級</v>
      </c>
      <c r="F58" s="10" t="str">
        <f t="shared" si="1"/>
        <v>除外</v>
      </c>
      <c r="G58" s="13" t="s">
        <v>793</v>
      </c>
      <c r="H58" s="14">
        <v>3146330</v>
      </c>
    </row>
    <row r="59" spans="1:8" ht="30" customHeight="1">
      <c r="A59" s="7">
        <v>53</v>
      </c>
      <c r="B59" s="9" t="s">
        <v>794</v>
      </c>
      <c r="C59" s="9" t="s">
        <v>795</v>
      </c>
      <c r="D59" s="8">
        <v>42634</v>
      </c>
      <c r="E59" s="10" t="str">
        <f t="shared" si="0"/>
        <v>5級</v>
      </c>
      <c r="F59" s="10" t="str">
        <f t="shared" si="1"/>
        <v>採用候補</v>
      </c>
      <c r="G59" s="13" t="s">
        <v>796</v>
      </c>
      <c r="H59" s="14">
        <v>3133251</v>
      </c>
    </row>
    <row r="60" spans="1:8" ht="30" customHeight="1">
      <c r="A60" s="7">
        <v>54</v>
      </c>
      <c r="B60" s="9" t="s">
        <v>797</v>
      </c>
      <c r="C60" s="9" t="s">
        <v>682</v>
      </c>
      <c r="D60" s="8">
        <v>41752</v>
      </c>
      <c r="E60" s="10" t="str">
        <f t="shared" si="0"/>
        <v>5級</v>
      </c>
      <c r="F60" s="10" t="str">
        <f t="shared" si="1"/>
        <v>採用候補</v>
      </c>
      <c r="G60" s="13" t="s">
        <v>798</v>
      </c>
      <c r="H60" s="14">
        <v>3122141</v>
      </c>
    </row>
    <row r="61" spans="1:8" ht="30" customHeight="1">
      <c r="A61" s="7">
        <v>55</v>
      </c>
      <c r="B61" s="9" t="s">
        <v>799</v>
      </c>
      <c r="C61" s="9" t="s">
        <v>795</v>
      </c>
      <c r="D61" s="8">
        <v>44573</v>
      </c>
      <c r="E61" s="10" t="str">
        <f t="shared" si="0"/>
        <v>5級</v>
      </c>
      <c r="F61" s="10" t="str">
        <f t="shared" si="1"/>
        <v>採用候補</v>
      </c>
      <c r="G61" s="13" t="s">
        <v>800</v>
      </c>
      <c r="H61" s="14">
        <v>3078640</v>
      </c>
    </row>
    <row r="62" spans="1:8" ht="30" customHeight="1">
      <c r="A62" s="7">
        <v>56</v>
      </c>
      <c r="B62" s="9" t="s">
        <v>28</v>
      </c>
      <c r="C62" s="9" t="s">
        <v>29</v>
      </c>
      <c r="D62" s="8">
        <v>38987</v>
      </c>
      <c r="E62" s="10" t="str">
        <f t="shared" si="0"/>
        <v>5級</v>
      </c>
      <c r="F62" s="10" t="str">
        <f t="shared" si="1"/>
        <v>除外</v>
      </c>
      <c r="G62" s="13" t="s">
        <v>801</v>
      </c>
      <c r="H62" s="14">
        <v>3065908</v>
      </c>
    </row>
    <row r="63" spans="1:8" ht="30" customHeight="1">
      <c r="A63" s="7">
        <v>57</v>
      </c>
      <c r="B63" s="9" t="s">
        <v>802</v>
      </c>
      <c r="C63" s="9" t="s">
        <v>47</v>
      </c>
      <c r="D63" s="8">
        <v>42606</v>
      </c>
      <c r="E63" s="10" t="str">
        <f t="shared" si="0"/>
        <v>5級</v>
      </c>
      <c r="F63" s="10" t="str">
        <f t="shared" si="1"/>
        <v>採用候補</v>
      </c>
      <c r="G63" s="13" t="s">
        <v>803</v>
      </c>
      <c r="H63" s="14">
        <v>3051910</v>
      </c>
    </row>
    <row r="64" spans="1:8" ht="30" customHeight="1">
      <c r="A64" s="7">
        <v>58</v>
      </c>
      <c r="B64" s="9" t="s">
        <v>804</v>
      </c>
      <c r="C64" s="9" t="s">
        <v>47</v>
      </c>
      <c r="D64" s="8">
        <v>42697</v>
      </c>
      <c r="E64" s="10" t="str">
        <f t="shared" si="0"/>
        <v>5級</v>
      </c>
      <c r="F64" s="10" t="str">
        <f t="shared" si="1"/>
        <v>採用候補</v>
      </c>
      <c r="G64" s="13" t="s">
        <v>805</v>
      </c>
      <c r="H64" s="14">
        <v>3029222</v>
      </c>
    </row>
    <row r="65" spans="1:8" ht="42" customHeight="1">
      <c r="A65" s="7">
        <v>59</v>
      </c>
      <c r="B65" s="9" t="s">
        <v>230</v>
      </c>
      <c r="C65" s="9" t="s">
        <v>806</v>
      </c>
      <c r="D65" s="8">
        <v>41129</v>
      </c>
      <c r="E65" s="10" t="str">
        <f t="shared" si="0"/>
        <v>5級</v>
      </c>
      <c r="F65" s="10" t="str">
        <f t="shared" si="1"/>
        <v>採用候補</v>
      </c>
      <c r="G65" s="13" t="s">
        <v>807</v>
      </c>
      <c r="H65" s="14">
        <v>3024345</v>
      </c>
    </row>
    <row r="66" spans="1:8" ht="30" customHeight="1">
      <c r="A66" s="7">
        <v>60</v>
      </c>
      <c r="B66" s="9" t="s">
        <v>808</v>
      </c>
      <c r="C66" s="9" t="s">
        <v>679</v>
      </c>
      <c r="D66" s="8">
        <v>43425</v>
      </c>
      <c r="E66" s="10" t="str">
        <f t="shared" si="0"/>
        <v>5級</v>
      </c>
      <c r="F66" s="10" t="str">
        <f t="shared" si="1"/>
        <v>採用候補</v>
      </c>
      <c r="G66" s="13" t="s">
        <v>809</v>
      </c>
      <c r="H66" s="14">
        <v>3022954</v>
      </c>
    </row>
    <row r="67" spans="1:8" ht="30" customHeight="1">
      <c r="A67" s="7">
        <v>61</v>
      </c>
      <c r="B67" s="9" t="s">
        <v>810</v>
      </c>
      <c r="C67" s="9" t="s">
        <v>682</v>
      </c>
      <c r="D67" s="8">
        <v>45915</v>
      </c>
      <c r="E67" s="10" t="str">
        <f t="shared" si="0"/>
        <v>5級</v>
      </c>
      <c r="F67" s="10" t="str">
        <f t="shared" si="1"/>
        <v>採用候補</v>
      </c>
      <c r="G67" s="13" t="s">
        <v>811</v>
      </c>
      <c r="H67" s="14">
        <v>2971076</v>
      </c>
    </row>
    <row r="68" spans="1:8" ht="30" customHeight="1">
      <c r="A68" s="7">
        <v>62</v>
      </c>
      <c r="B68" s="9" t="s">
        <v>30</v>
      </c>
      <c r="C68" s="9" t="s">
        <v>31</v>
      </c>
      <c r="D68" s="8">
        <v>37209</v>
      </c>
      <c r="E68" s="10" t="str">
        <f t="shared" si="0"/>
        <v>5級</v>
      </c>
      <c r="F68" s="10" t="str">
        <f t="shared" si="1"/>
        <v>除外</v>
      </c>
      <c r="G68" s="13" t="s">
        <v>812</v>
      </c>
      <c r="H68" s="14">
        <v>2955715</v>
      </c>
    </row>
    <row r="69" spans="1:8" ht="30" customHeight="1">
      <c r="A69" s="7">
        <v>63</v>
      </c>
      <c r="B69" s="9" t="s">
        <v>32</v>
      </c>
      <c r="C69" s="9" t="s">
        <v>33</v>
      </c>
      <c r="D69" s="8">
        <v>40079</v>
      </c>
      <c r="E69" s="10" t="str">
        <f t="shared" si="0"/>
        <v>5級</v>
      </c>
      <c r="F69" s="10" t="str">
        <f t="shared" si="1"/>
        <v>除外</v>
      </c>
      <c r="G69" s="13" t="s">
        <v>813</v>
      </c>
      <c r="H69" s="14">
        <v>2923758</v>
      </c>
    </row>
    <row r="70" spans="1:8" ht="30" customHeight="1">
      <c r="A70" s="7">
        <v>64</v>
      </c>
      <c r="B70" s="9" t="s">
        <v>814</v>
      </c>
      <c r="C70" s="9" t="s">
        <v>693</v>
      </c>
      <c r="D70" s="8">
        <v>43747</v>
      </c>
      <c r="E70" s="10" t="str">
        <f t="shared" si="0"/>
        <v>5級</v>
      </c>
      <c r="F70" s="10" t="str">
        <f t="shared" si="1"/>
        <v>採用候補</v>
      </c>
      <c r="G70" s="13" t="s">
        <v>815</v>
      </c>
      <c r="H70" s="14">
        <v>2923745</v>
      </c>
    </row>
    <row r="71" spans="1:8" ht="30" customHeight="1">
      <c r="A71" s="7">
        <v>65</v>
      </c>
      <c r="B71" s="9" t="s">
        <v>816</v>
      </c>
      <c r="C71" s="9" t="s">
        <v>33</v>
      </c>
      <c r="D71" s="8">
        <v>40303</v>
      </c>
      <c r="E71" s="10" t="str">
        <f t="shared" ref="E71:E134" si="2">CHOOSE(INT((A71-1)/100)+1,"5級","4級","3級","2級","1級","初段","二段","三段","四段","五段")</f>
        <v>5級</v>
      </c>
      <c r="F71" s="10" t="str">
        <f t="shared" ref="F71:F134" si="3">IF(D71&gt;=DATE(2010,1,1),"採用候補","除外")</f>
        <v>採用候補</v>
      </c>
      <c r="G71" s="13" t="s">
        <v>817</v>
      </c>
      <c r="H71" s="14">
        <v>2911377</v>
      </c>
    </row>
    <row r="72" spans="1:8" ht="30" customHeight="1">
      <c r="A72" s="7">
        <v>66</v>
      </c>
      <c r="B72" s="9" t="s">
        <v>90</v>
      </c>
      <c r="C72" s="9" t="s">
        <v>155</v>
      </c>
      <c r="D72" s="8">
        <v>40233</v>
      </c>
      <c r="E72" s="10" t="str">
        <f t="shared" si="2"/>
        <v>5級</v>
      </c>
      <c r="F72" s="10" t="str">
        <f t="shared" si="3"/>
        <v>採用候補</v>
      </c>
      <c r="G72" s="13" t="s">
        <v>818</v>
      </c>
      <c r="H72" s="14">
        <v>2898810</v>
      </c>
    </row>
    <row r="73" spans="1:8" ht="30" customHeight="1">
      <c r="A73" s="7">
        <v>67</v>
      </c>
      <c r="B73" s="9" t="s">
        <v>819</v>
      </c>
      <c r="C73" s="9" t="s">
        <v>679</v>
      </c>
      <c r="D73" s="8">
        <v>42347</v>
      </c>
      <c r="E73" s="10" t="str">
        <f t="shared" si="2"/>
        <v>5級</v>
      </c>
      <c r="F73" s="10" t="str">
        <f t="shared" si="3"/>
        <v>採用候補</v>
      </c>
      <c r="G73" s="13" t="s">
        <v>820</v>
      </c>
      <c r="H73" s="14">
        <v>2887124</v>
      </c>
    </row>
    <row r="74" spans="1:8" ht="30" customHeight="1">
      <c r="A74" s="7">
        <v>68</v>
      </c>
      <c r="B74" s="9" t="s">
        <v>34</v>
      </c>
      <c r="C74" s="9" t="s">
        <v>35</v>
      </c>
      <c r="D74" s="8">
        <v>39072</v>
      </c>
      <c r="E74" s="10" t="str">
        <f t="shared" si="2"/>
        <v>5級</v>
      </c>
      <c r="F74" s="10" t="str">
        <f t="shared" si="3"/>
        <v>除外</v>
      </c>
      <c r="G74" s="13" t="s">
        <v>821</v>
      </c>
      <c r="H74" s="14">
        <v>2886247</v>
      </c>
    </row>
    <row r="75" spans="1:8" ht="30" customHeight="1">
      <c r="A75" s="7">
        <v>69</v>
      </c>
      <c r="B75" s="9" t="s">
        <v>36</v>
      </c>
      <c r="C75" s="9" t="s">
        <v>37</v>
      </c>
      <c r="D75" s="8">
        <v>39708</v>
      </c>
      <c r="E75" s="10" t="str">
        <f t="shared" si="2"/>
        <v>5級</v>
      </c>
      <c r="F75" s="10" t="str">
        <f t="shared" si="3"/>
        <v>除外</v>
      </c>
      <c r="G75" s="13" t="s">
        <v>822</v>
      </c>
      <c r="H75" s="14">
        <v>2883396</v>
      </c>
    </row>
    <row r="76" spans="1:8" ht="30" customHeight="1">
      <c r="A76" s="7">
        <v>70</v>
      </c>
      <c r="B76" s="9" t="s">
        <v>823</v>
      </c>
      <c r="C76" s="9" t="s">
        <v>679</v>
      </c>
      <c r="D76" s="8">
        <v>41220</v>
      </c>
      <c r="E76" s="10" t="str">
        <f t="shared" si="2"/>
        <v>5級</v>
      </c>
      <c r="F76" s="10" t="str">
        <f t="shared" si="3"/>
        <v>採用候補</v>
      </c>
      <c r="G76" s="13" t="s">
        <v>824</v>
      </c>
      <c r="H76" s="14">
        <v>2879433</v>
      </c>
    </row>
    <row r="77" spans="1:8" ht="30" customHeight="1">
      <c r="A77" s="7">
        <v>71</v>
      </c>
      <c r="B77" s="9" t="s">
        <v>38</v>
      </c>
      <c r="C77" s="9" t="s">
        <v>33</v>
      </c>
      <c r="D77" s="8">
        <v>39638</v>
      </c>
      <c r="E77" s="10" t="str">
        <f t="shared" si="2"/>
        <v>5級</v>
      </c>
      <c r="F77" s="10" t="str">
        <f t="shared" si="3"/>
        <v>除外</v>
      </c>
      <c r="G77" s="13" t="s">
        <v>825</v>
      </c>
      <c r="H77" s="14">
        <v>2873936</v>
      </c>
    </row>
    <row r="78" spans="1:8" ht="30" customHeight="1">
      <c r="A78" s="7">
        <v>72</v>
      </c>
      <c r="B78" s="9" t="s">
        <v>826</v>
      </c>
      <c r="C78" s="9" t="s">
        <v>679</v>
      </c>
      <c r="D78" s="8">
        <v>42151</v>
      </c>
      <c r="E78" s="10" t="str">
        <f t="shared" si="2"/>
        <v>5級</v>
      </c>
      <c r="F78" s="10" t="str">
        <f t="shared" si="3"/>
        <v>採用候補</v>
      </c>
      <c r="G78" s="13" t="s">
        <v>827</v>
      </c>
      <c r="H78" s="14">
        <v>2852312</v>
      </c>
    </row>
    <row r="79" spans="1:8" ht="30" customHeight="1">
      <c r="A79" s="7">
        <v>73</v>
      </c>
      <c r="B79" s="9" t="s">
        <v>724</v>
      </c>
      <c r="C79" s="9" t="s">
        <v>828</v>
      </c>
      <c r="D79" s="8">
        <v>42648</v>
      </c>
      <c r="E79" s="10" t="str">
        <f t="shared" si="2"/>
        <v>5級</v>
      </c>
      <c r="F79" s="10" t="str">
        <f t="shared" si="3"/>
        <v>採用候補</v>
      </c>
      <c r="G79" s="13" t="s">
        <v>829</v>
      </c>
      <c r="H79" s="14">
        <v>2842000</v>
      </c>
    </row>
    <row r="80" spans="1:8" ht="30" customHeight="1">
      <c r="A80" s="7">
        <v>74</v>
      </c>
      <c r="B80" s="9" t="s">
        <v>830</v>
      </c>
      <c r="C80" s="9" t="s">
        <v>831</v>
      </c>
      <c r="D80" s="8">
        <v>42613</v>
      </c>
      <c r="E80" s="10" t="str">
        <f t="shared" si="2"/>
        <v>5級</v>
      </c>
      <c r="F80" s="10" t="str">
        <f t="shared" si="3"/>
        <v>採用候補</v>
      </c>
      <c r="G80" s="13" t="s">
        <v>832</v>
      </c>
      <c r="H80" s="14">
        <v>2839512</v>
      </c>
    </row>
    <row r="81" spans="1:8" ht="30" customHeight="1">
      <c r="A81" s="7">
        <v>75</v>
      </c>
      <c r="B81" s="9" t="s">
        <v>833</v>
      </c>
      <c r="C81" s="9" t="s">
        <v>693</v>
      </c>
      <c r="D81" s="8">
        <v>43201</v>
      </c>
      <c r="E81" s="10" t="str">
        <f t="shared" si="2"/>
        <v>5級</v>
      </c>
      <c r="F81" s="10" t="str">
        <f t="shared" si="3"/>
        <v>採用候補</v>
      </c>
      <c r="G81" s="13" t="s">
        <v>834</v>
      </c>
      <c r="H81" s="14">
        <v>2833507</v>
      </c>
    </row>
    <row r="82" spans="1:8" ht="30" customHeight="1">
      <c r="A82" s="7">
        <v>76</v>
      </c>
      <c r="B82" s="9" t="s">
        <v>39</v>
      </c>
      <c r="C82" s="9" t="s">
        <v>40</v>
      </c>
      <c r="D82" s="8">
        <v>38190</v>
      </c>
      <c r="E82" s="10" t="str">
        <f t="shared" si="2"/>
        <v>5級</v>
      </c>
      <c r="F82" s="10" t="str">
        <f t="shared" si="3"/>
        <v>除外</v>
      </c>
      <c r="G82" s="13" t="s">
        <v>835</v>
      </c>
      <c r="H82" s="14">
        <v>2817976</v>
      </c>
    </row>
    <row r="83" spans="1:8" ht="30" customHeight="1">
      <c r="A83" s="7">
        <v>77</v>
      </c>
      <c r="B83" s="9" t="s">
        <v>836</v>
      </c>
      <c r="C83" s="9" t="s">
        <v>837</v>
      </c>
      <c r="D83" s="8">
        <v>40569</v>
      </c>
      <c r="E83" s="10" t="str">
        <f t="shared" si="2"/>
        <v>5級</v>
      </c>
      <c r="F83" s="10" t="str">
        <f t="shared" si="3"/>
        <v>採用候補</v>
      </c>
      <c r="G83" s="13" t="s">
        <v>838</v>
      </c>
      <c r="H83" s="14">
        <v>2763145</v>
      </c>
    </row>
    <row r="84" spans="1:8" ht="30" customHeight="1">
      <c r="A84" s="7">
        <v>78</v>
      </c>
      <c r="B84" s="9" t="s">
        <v>41</v>
      </c>
      <c r="C84" s="9" t="s">
        <v>42</v>
      </c>
      <c r="D84" s="8">
        <v>37531</v>
      </c>
      <c r="E84" s="10" t="str">
        <f t="shared" si="2"/>
        <v>5級</v>
      </c>
      <c r="F84" s="10" t="str">
        <f t="shared" si="3"/>
        <v>除外</v>
      </c>
      <c r="G84" s="13" t="s">
        <v>839</v>
      </c>
      <c r="H84" s="14">
        <v>2744631</v>
      </c>
    </row>
    <row r="85" spans="1:8" ht="30" customHeight="1">
      <c r="A85" s="7">
        <v>79</v>
      </c>
      <c r="B85" s="9" t="s">
        <v>840</v>
      </c>
      <c r="C85" s="9" t="s">
        <v>72</v>
      </c>
      <c r="D85" s="8">
        <v>42354</v>
      </c>
      <c r="E85" s="10" t="str">
        <f t="shared" si="2"/>
        <v>5級</v>
      </c>
      <c r="F85" s="10" t="str">
        <f t="shared" si="3"/>
        <v>採用候補</v>
      </c>
      <c r="G85" s="13" t="s">
        <v>841</v>
      </c>
      <c r="H85" s="14">
        <v>2738708</v>
      </c>
    </row>
    <row r="86" spans="1:8" ht="30" customHeight="1">
      <c r="A86" s="7">
        <v>80</v>
      </c>
      <c r="B86" s="9" t="s">
        <v>43</v>
      </c>
      <c r="C86" s="9" t="s">
        <v>12</v>
      </c>
      <c r="D86" s="8">
        <v>39960</v>
      </c>
      <c r="E86" s="10" t="str">
        <f t="shared" si="2"/>
        <v>5級</v>
      </c>
      <c r="F86" s="10" t="str">
        <f t="shared" si="3"/>
        <v>除外</v>
      </c>
      <c r="G86" s="13" t="s">
        <v>842</v>
      </c>
      <c r="H86" s="14">
        <v>2737603</v>
      </c>
    </row>
    <row r="87" spans="1:8" ht="30" customHeight="1">
      <c r="A87" s="7">
        <v>81</v>
      </c>
      <c r="B87" s="9" t="s">
        <v>843</v>
      </c>
      <c r="C87" s="9" t="s">
        <v>844</v>
      </c>
      <c r="D87" s="8">
        <v>41521</v>
      </c>
      <c r="E87" s="10" t="str">
        <f t="shared" si="2"/>
        <v>5級</v>
      </c>
      <c r="F87" s="10" t="str">
        <f t="shared" si="3"/>
        <v>採用候補</v>
      </c>
      <c r="G87" s="13" t="s">
        <v>845</v>
      </c>
      <c r="H87" s="14">
        <v>2734403</v>
      </c>
    </row>
    <row r="88" spans="1:8" ht="30" customHeight="1">
      <c r="A88" s="7">
        <v>82</v>
      </c>
      <c r="B88" s="9" t="s">
        <v>846</v>
      </c>
      <c r="C88" s="9" t="s">
        <v>47</v>
      </c>
      <c r="D88" s="8">
        <v>40611</v>
      </c>
      <c r="E88" s="10" t="str">
        <f t="shared" si="2"/>
        <v>5級</v>
      </c>
      <c r="F88" s="10" t="str">
        <f t="shared" si="3"/>
        <v>採用候補</v>
      </c>
      <c r="G88" s="13" t="s">
        <v>847</v>
      </c>
      <c r="H88" s="14">
        <v>2731986</v>
      </c>
    </row>
    <row r="89" spans="1:8" ht="30" customHeight="1">
      <c r="A89" s="7">
        <v>83</v>
      </c>
      <c r="B89" s="9" t="s">
        <v>44</v>
      </c>
      <c r="C89" s="9" t="s">
        <v>45</v>
      </c>
      <c r="D89" s="8">
        <v>39134</v>
      </c>
      <c r="E89" s="10" t="str">
        <f t="shared" si="2"/>
        <v>5級</v>
      </c>
      <c r="F89" s="10" t="str">
        <f t="shared" si="3"/>
        <v>除外</v>
      </c>
      <c r="G89" s="13" t="s">
        <v>848</v>
      </c>
      <c r="H89" s="14">
        <v>2729886</v>
      </c>
    </row>
    <row r="90" spans="1:8" ht="30" customHeight="1">
      <c r="A90" s="7">
        <v>84</v>
      </c>
      <c r="B90" s="9" t="s">
        <v>46</v>
      </c>
      <c r="C90" s="9" t="s">
        <v>47</v>
      </c>
      <c r="D90" s="8">
        <v>39057</v>
      </c>
      <c r="E90" s="10" t="str">
        <f t="shared" si="2"/>
        <v>5級</v>
      </c>
      <c r="F90" s="10" t="str">
        <f t="shared" si="3"/>
        <v>除外</v>
      </c>
      <c r="G90" s="13" t="s">
        <v>849</v>
      </c>
      <c r="H90" s="14">
        <v>2727649</v>
      </c>
    </row>
    <row r="91" spans="1:8" ht="30" customHeight="1">
      <c r="A91" s="7">
        <v>85</v>
      </c>
      <c r="B91" s="9" t="s">
        <v>850</v>
      </c>
      <c r="C91" s="9" t="s">
        <v>851</v>
      </c>
      <c r="D91" s="8">
        <v>42466</v>
      </c>
      <c r="E91" s="10" t="str">
        <f t="shared" si="2"/>
        <v>5級</v>
      </c>
      <c r="F91" s="10" t="str">
        <f t="shared" si="3"/>
        <v>採用候補</v>
      </c>
      <c r="G91" s="13" t="s">
        <v>852</v>
      </c>
      <c r="H91" s="14">
        <v>2716545</v>
      </c>
    </row>
    <row r="92" spans="1:8" ht="42" customHeight="1">
      <c r="A92" s="7">
        <v>86</v>
      </c>
      <c r="B92" s="9" t="s">
        <v>853</v>
      </c>
      <c r="C92" s="9" t="s">
        <v>787</v>
      </c>
      <c r="D92" s="8">
        <v>45394</v>
      </c>
      <c r="E92" s="10" t="str">
        <f t="shared" si="2"/>
        <v>5級</v>
      </c>
      <c r="F92" s="10" t="str">
        <f t="shared" si="3"/>
        <v>採用候補</v>
      </c>
      <c r="G92" s="13" t="s">
        <v>854</v>
      </c>
      <c r="H92" s="14">
        <v>2712181</v>
      </c>
    </row>
    <row r="93" spans="1:8" ht="42" customHeight="1">
      <c r="A93" s="7">
        <v>87</v>
      </c>
      <c r="B93" s="9" t="s">
        <v>855</v>
      </c>
      <c r="C93" s="9" t="s">
        <v>787</v>
      </c>
      <c r="D93" s="8">
        <v>43474</v>
      </c>
      <c r="E93" s="10" t="str">
        <f t="shared" si="2"/>
        <v>5級</v>
      </c>
      <c r="F93" s="10" t="str">
        <f t="shared" si="3"/>
        <v>採用候補</v>
      </c>
      <c r="G93" s="13" t="s">
        <v>856</v>
      </c>
      <c r="H93" s="14">
        <v>2705397</v>
      </c>
    </row>
    <row r="94" spans="1:8" ht="30" customHeight="1">
      <c r="A94" s="7">
        <v>88</v>
      </c>
      <c r="B94" s="9" t="s">
        <v>857</v>
      </c>
      <c r="C94" s="9" t="s">
        <v>155</v>
      </c>
      <c r="D94" s="8">
        <v>40317</v>
      </c>
      <c r="E94" s="10" t="str">
        <f t="shared" si="2"/>
        <v>5級</v>
      </c>
      <c r="F94" s="10" t="str">
        <f t="shared" si="3"/>
        <v>採用候補</v>
      </c>
      <c r="G94" s="13" t="s">
        <v>858</v>
      </c>
      <c r="H94" s="14">
        <v>2701331</v>
      </c>
    </row>
    <row r="95" spans="1:8" ht="30" customHeight="1">
      <c r="A95" s="7">
        <v>89</v>
      </c>
      <c r="B95" s="9" t="s">
        <v>48</v>
      </c>
      <c r="C95" s="9" t="s">
        <v>12</v>
      </c>
      <c r="D95" s="8">
        <v>39218</v>
      </c>
      <c r="E95" s="10" t="str">
        <f t="shared" si="2"/>
        <v>5級</v>
      </c>
      <c r="F95" s="10" t="str">
        <f t="shared" si="3"/>
        <v>除外</v>
      </c>
      <c r="G95" s="13" t="s">
        <v>859</v>
      </c>
      <c r="H95" s="14">
        <v>2698544</v>
      </c>
    </row>
    <row r="96" spans="1:8" ht="30" customHeight="1">
      <c r="A96" s="7">
        <v>90</v>
      </c>
      <c r="B96" s="9" t="s">
        <v>860</v>
      </c>
      <c r="C96" s="9" t="s">
        <v>755</v>
      </c>
      <c r="D96" s="8">
        <v>45175</v>
      </c>
      <c r="E96" s="10" t="str">
        <f t="shared" si="2"/>
        <v>5級</v>
      </c>
      <c r="F96" s="10" t="str">
        <f t="shared" si="3"/>
        <v>採用候補</v>
      </c>
      <c r="G96" s="13" t="s">
        <v>861</v>
      </c>
      <c r="H96" s="14">
        <v>2690043</v>
      </c>
    </row>
    <row r="97" spans="1:8" ht="30" customHeight="1">
      <c r="A97" s="7">
        <v>91</v>
      </c>
      <c r="B97" s="9" t="s">
        <v>49</v>
      </c>
      <c r="C97" s="9" t="s">
        <v>50</v>
      </c>
      <c r="D97" s="8">
        <v>39127</v>
      </c>
      <c r="E97" s="10" t="str">
        <f t="shared" si="2"/>
        <v>5級</v>
      </c>
      <c r="F97" s="10" t="str">
        <f t="shared" si="3"/>
        <v>除外</v>
      </c>
      <c r="G97" s="13" t="s">
        <v>862</v>
      </c>
      <c r="H97" s="14">
        <v>2678145</v>
      </c>
    </row>
    <row r="98" spans="1:8" ht="30" customHeight="1">
      <c r="A98" s="7">
        <v>92</v>
      </c>
      <c r="B98" s="9" t="s">
        <v>51</v>
      </c>
      <c r="C98" s="9" t="s">
        <v>45</v>
      </c>
      <c r="D98" s="8">
        <v>39624</v>
      </c>
      <c r="E98" s="10" t="str">
        <f t="shared" si="2"/>
        <v>5級</v>
      </c>
      <c r="F98" s="10" t="str">
        <f t="shared" si="3"/>
        <v>除外</v>
      </c>
      <c r="G98" s="13" t="s">
        <v>863</v>
      </c>
      <c r="H98" s="14">
        <v>2666798</v>
      </c>
    </row>
    <row r="99" spans="1:8" ht="30" customHeight="1">
      <c r="A99" s="7">
        <v>93</v>
      </c>
      <c r="B99" s="9" t="s">
        <v>52</v>
      </c>
      <c r="C99" s="9" t="s">
        <v>45</v>
      </c>
      <c r="D99" s="8">
        <v>36467</v>
      </c>
      <c r="E99" s="10" t="str">
        <f t="shared" si="2"/>
        <v>5級</v>
      </c>
      <c r="F99" s="10" t="str">
        <f t="shared" si="3"/>
        <v>除外</v>
      </c>
      <c r="G99" s="13" t="s">
        <v>864</v>
      </c>
      <c r="H99" s="14">
        <v>2659665</v>
      </c>
    </row>
    <row r="100" spans="1:8" ht="30" customHeight="1">
      <c r="A100" s="7">
        <v>94</v>
      </c>
      <c r="B100" s="9" t="s">
        <v>865</v>
      </c>
      <c r="C100" s="9" t="s">
        <v>70</v>
      </c>
      <c r="D100" s="8">
        <v>41710</v>
      </c>
      <c r="E100" s="10" t="str">
        <f t="shared" si="2"/>
        <v>5級</v>
      </c>
      <c r="F100" s="10" t="str">
        <f t="shared" si="3"/>
        <v>採用候補</v>
      </c>
      <c r="G100" s="13" t="s">
        <v>866</v>
      </c>
      <c r="H100" s="14">
        <v>2648608</v>
      </c>
    </row>
    <row r="101" spans="1:8" ht="30" customHeight="1">
      <c r="A101" s="7">
        <v>95</v>
      </c>
      <c r="B101" s="9" t="s">
        <v>53</v>
      </c>
      <c r="C101" s="9" t="s">
        <v>54</v>
      </c>
      <c r="D101" s="8">
        <v>38987</v>
      </c>
      <c r="E101" s="10" t="str">
        <f t="shared" si="2"/>
        <v>5級</v>
      </c>
      <c r="F101" s="10" t="str">
        <f t="shared" si="3"/>
        <v>除外</v>
      </c>
      <c r="G101" s="13" t="s">
        <v>867</v>
      </c>
      <c r="H101" s="14">
        <v>2628686</v>
      </c>
    </row>
    <row r="102" spans="1:8" ht="30" customHeight="1">
      <c r="A102" s="7">
        <v>96</v>
      </c>
      <c r="B102" s="9" t="s">
        <v>868</v>
      </c>
      <c r="C102" s="9" t="s">
        <v>869</v>
      </c>
      <c r="D102" s="8">
        <v>44107</v>
      </c>
      <c r="E102" s="10" t="str">
        <f t="shared" si="2"/>
        <v>5級</v>
      </c>
      <c r="F102" s="10" t="str">
        <f t="shared" si="3"/>
        <v>採用候補</v>
      </c>
      <c r="G102" s="13" t="s">
        <v>870</v>
      </c>
      <c r="H102" s="14">
        <v>2627915</v>
      </c>
    </row>
    <row r="103" spans="1:8" ht="30" customHeight="1">
      <c r="A103" s="7">
        <v>97</v>
      </c>
      <c r="B103" s="9" t="s">
        <v>871</v>
      </c>
      <c r="C103" s="9" t="s">
        <v>758</v>
      </c>
      <c r="D103" s="8">
        <v>40744</v>
      </c>
      <c r="E103" s="10" t="str">
        <f t="shared" si="2"/>
        <v>5級</v>
      </c>
      <c r="F103" s="10" t="str">
        <f t="shared" si="3"/>
        <v>採用候補</v>
      </c>
      <c r="G103" s="13" t="s">
        <v>872</v>
      </c>
      <c r="H103" s="14">
        <v>2627450</v>
      </c>
    </row>
    <row r="104" spans="1:8" ht="30" customHeight="1">
      <c r="A104" s="7">
        <v>98</v>
      </c>
      <c r="B104" s="9" t="s">
        <v>55</v>
      </c>
      <c r="C104" s="9" t="s">
        <v>56</v>
      </c>
      <c r="D104" s="8">
        <v>38819</v>
      </c>
      <c r="E104" s="10" t="str">
        <f t="shared" si="2"/>
        <v>5級</v>
      </c>
      <c r="F104" s="10" t="str">
        <f t="shared" si="3"/>
        <v>除外</v>
      </c>
      <c r="G104" s="13" t="s">
        <v>873</v>
      </c>
      <c r="H104" s="14">
        <v>2623842</v>
      </c>
    </row>
    <row r="105" spans="1:8" ht="30" customHeight="1">
      <c r="A105" s="7">
        <v>99</v>
      </c>
      <c r="B105" s="9" t="s">
        <v>874</v>
      </c>
      <c r="C105" s="9" t="s">
        <v>682</v>
      </c>
      <c r="D105" s="8">
        <v>45390</v>
      </c>
      <c r="E105" s="10" t="str">
        <f t="shared" si="2"/>
        <v>5級</v>
      </c>
      <c r="F105" s="10" t="str">
        <f t="shared" si="3"/>
        <v>採用候補</v>
      </c>
      <c r="G105" s="13" t="s">
        <v>875</v>
      </c>
      <c r="H105" s="14">
        <v>2598189</v>
      </c>
    </row>
    <row r="106" spans="1:8" ht="30" customHeight="1">
      <c r="A106" s="7">
        <v>100</v>
      </c>
      <c r="B106" s="9" t="s">
        <v>57</v>
      </c>
      <c r="C106" s="9" t="s">
        <v>58</v>
      </c>
      <c r="D106" s="8">
        <v>38490</v>
      </c>
      <c r="E106" s="10" t="str">
        <f t="shared" si="2"/>
        <v>5級</v>
      </c>
      <c r="F106" s="10" t="str">
        <f t="shared" si="3"/>
        <v>除外</v>
      </c>
      <c r="G106" s="13" t="s">
        <v>876</v>
      </c>
      <c r="H106" s="14">
        <v>2597504</v>
      </c>
    </row>
    <row r="107" spans="1:8" ht="30" customHeight="1">
      <c r="A107" s="7">
        <v>101</v>
      </c>
      <c r="B107" s="9" t="s">
        <v>877</v>
      </c>
      <c r="C107" s="9" t="s">
        <v>722</v>
      </c>
      <c r="D107" s="8">
        <v>42858</v>
      </c>
      <c r="E107" s="10" t="str">
        <f t="shared" si="2"/>
        <v>4級</v>
      </c>
      <c r="F107" s="10" t="str">
        <f t="shared" si="3"/>
        <v>採用候補</v>
      </c>
      <c r="G107" s="13" t="s">
        <v>878</v>
      </c>
      <c r="H107" s="14">
        <v>2595157</v>
      </c>
    </row>
    <row r="108" spans="1:8" ht="30" customHeight="1">
      <c r="A108" s="7">
        <v>102</v>
      </c>
      <c r="B108" s="9" t="s">
        <v>59</v>
      </c>
      <c r="C108" s="9" t="s">
        <v>60</v>
      </c>
      <c r="D108" s="8">
        <v>39505</v>
      </c>
      <c r="E108" s="10" t="str">
        <f t="shared" si="2"/>
        <v>4級</v>
      </c>
      <c r="F108" s="10" t="str">
        <f t="shared" si="3"/>
        <v>除外</v>
      </c>
      <c r="G108" s="13" t="s">
        <v>879</v>
      </c>
      <c r="H108" s="14">
        <v>2588456</v>
      </c>
    </row>
    <row r="109" spans="1:8" ht="30" customHeight="1">
      <c r="A109" s="7">
        <v>103</v>
      </c>
      <c r="B109" s="9" t="s">
        <v>880</v>
      </c>
      <c r="C109" s="9" t="s">
        <v>722</v>
      </c>
      <c r="D109" s="8">
        <v>42949</v>
      </c>
      <c r="E109" s="10" t="str">
        <f t="shared" si="2"/>
        <v>4級</v>
      </c>
      <c r="F109" s="10" t="str">
        <f t="shared" si="3"/>
        <v>採用候補</v>
      </c>
      <c r="G109" s="13" t="s">
        <v>881</v>
      </c>
      <c r="H109" s="14">
        <v>2568022</v>
      </c>
    </row>
    <row r="110" spans="1:8" ht="30" customHeight="1">
      <c r="A110" s="7">
        <v>104</v>
      </c>
      <c r="B110" s="9" t="s">
        <v>882</v>
      </c>
      <c r="C110" s="9" t="s">
        <v>708</v>
      </c>
      <c r="D110" s="8">
        <v>44075</v>
      </c>
      <c r="E110" s="10" t="str">
        <f t="shared" si="2"/>
        <v>4級</v>
      </c>
      <c r="F110" s="10" t="str">
        <f t="shared" si="3"/>
        <v>採用候補</v>
      </c>
      <c r="G110" s="13" t="s">
        <v>883</v>
      </c>
      <c r="H110" s="14">
        <v>2549145</v>
      </c>
    </row>
    <row r="111" spans="1:8" ht="30" customHeight="1">
      <c r="A111" s="7">
        <v>105</v>
      </c>
      <c r="B111" s="9" t="s">
        <v>61</v>
      </c>
      <c r="C111" s="9" t="s">
        <v>62</v>
      </c>
      <c r="D111" s="8">
        <v>34243</v>
      </c>
      <c r="E111" s="10" t="str">
        <f t="shared" si="2"/>
        <v>4級</v>
      </c>
      <c r="F111" s="10" t="str">
        <f t="shared" si="3"/>
        <v>除外</v>
      </c>
      <c r="G111" s="13" t="s">
        <v>884</v>
      </c>
      <c r="H111" s="14">
        <v>2524536</v>
      </c>
    </row>
    <row r="112" spans="1:8" ht="30" customHeight="1">
      <c r="A112" s="7">
        <v>106</v>
      </c>
      <c r="B112" s="9" t="s">
        <v>63</v>
      </c>
      <c r="C112" s="9" t="s">
        <v>15</v>
      </c>
      <c r="D112" s="8">
        <v>38462</v>
      </c>
      <c r="E112" s="10" t="str">
        <f t="shared" si="2"/>
        <v>4級</v>
      </c>
      <c r="F112" s="10" t="str">
        <f t="shared" si="3"/>
        <v>除外</v>
      </c>
      <c r="G112" s="13" t="s">
        <v>885</v>
      </c>
      <c r="H112" s="14">
        <v>2505309</v>
      </c>
    </row>
    <row r="113" spans="1:8" ht="42" customHeight="1">
      <c r="A113" s="7">
        <v>107</v>
      </c>
      <c r="B113" s="9" t="s">
        <v>886</v>
      </c>
      <c r="C113" s="9" t="s">
        <v>787</v>
      </c>
      <c r="D113" s="8">
        <v>45752</v>
      </c>
      <c r="E113" s="10" t="str">
        <f t="shared" si="2"/>
        <v>4級</v>
      </c>
      <c r="F113" s="10" t="str">
        <f t="shared" si="3"/>
        <v>採用候補</v>
      </c>
      <c r="G113" s="13" t="s">
        <v>887</v>
      </c>
      <c r="H113" s="14">
        <v>2486759</v>
      </c>
    </row>
    <row r="114" spans="1:8" ht="30" customHeight="1">
      <c r="A114" s="7">
        <v>108</v>
      </c>
      <c r="B114" s="9" t="s">
        <v>107</v>
      </c>
      <c r="C114" s="9" t="s">
        <v>765</v>
      </c>
      <c r="D114" s="8">
        <v>44145</v>
      </c>
      <c r="E114" s="10" t="str">
        <f t="shared" si="2"/>
        <v>4級</v>
      </c>
      <c r="F114" s="10" t="str">
        <f t="shared" si="3"/>
        <v>採用候補</v>
      </c>
      <c r="G114" s="13" t="s">
        <v>888</v>
      </c>
      <c r="H114" s="14">
        <v>2482666</v>
      </c>
    </row>
    <row r="115" spans="1:8" ht="30" customHeight="1">
      <c r="A115" s="7">
        <v>109</v>
      </c>
      <c r="B115" s="9" t="s">
        <v>889</v>
      </c>
      <c r="C115" s="9" t="s">
        <v>758</v>
      </c>
      <c r="D115" s="8">
        <v>40212</v>
      </c>
      <c r="E115" s="10" t="str">
        <f t="shared" si="2"/>
        <v>4級</v>
      </c>
      <c r="F115" s="10" t="str">
        <f t="shared" si="3"/>
        <v>採用候補</v>
      </c>
      <c r="G115" s="13" t="s">
        <v>890</v>
      </c>
      <c r="H115" s="14">
        <v>2470894</v>
      </c>
    </row>
    <row r="116" spans="1:8" ht="30" customHeight="1">
      <c r="A116" s="7">
        <v>110</v>
      </c>
      <c r="B116" s="9" t="s">
        <v>891</v>
      </c>
      <c r="C116" s="9" t="s">
        <v>698</v>
      </c>
      <c r="D116" s="8">
        <v>41927</v>
      </c>
      <c r="E116" s="10" t="str">
        <f t="shared" si="2"/>
        <v>4級</v>
      </c>
      <c r="F116" s="10" t="str">
        <f t="shared" si="3"/>
        <v>採用候補</v>
      </c>
      <c r="G116" s="13" t="s">
        <v>892</v>
      </c>
      <c r="H116" s="14">
        <v>2456277</v>
      </c>
    </row>
    <row r="117" spans="1:8" ht="30" customHeight="1">
      <c r="A117" s="7">
        <v>111</v>
      </c>
      <c r="B117" s="9" t="s">
        <v>893</v>
      </c>
      <c r="C117" s="9" t="s">
        <v>894</v>
      </c>
      <c r="D117" s="8">
        <v>43439</v>
      </c>
      <c r="E117" s="10" t="str">
        <f t="shared" si="2"/>
        <v>4級</v>
      </c>
      <c r="F117" s="10" t="str">
        <f t="shared" si="3"/>
        <v>採用候補</v>
      </c>
      <c r="G117" s="13" t="s">
        <v>895</v>
      </c>
      <c r="H117" s="14">
        <v>2450657</v>
      </c>
    </row>
    <row r="118" spans="1:8" ht="30" customHeight="1">
      <c r="A118" s="7">
        <v>112</v>
      </c>
      <c r="B118" s="9" t="s">
        <v>896</v>
      </c>
      <c r="C118" s="9" t="s">
        <v>328</v>
      </c>
      <c r="D118" s="8">
        <v>43334</v>
      </c>
      <c r="E118" s="10" t="str">
        <f t="shared" si="2"/>
        <v>4級</v>
      </c>
      <c r="F118" s="10" t="str">
        <f t="shared" si="3"/>
        <v>採用候補</v>
      </c>
      <c r="G118" s="13" t="s">
        <v>897</v>
      </c>
      <c r="H118" s="14">
        <v>2450169</v>
      </c>
    </row>
    <row r="119" spans="1:8" ht="30" customHeight="1">
      <c r="A119" s="7">
        <v>113</v>
      </c>
      <c r="B119" s="9" t="s">
        <v>64</v>
      </c>
      <c r="C119" s="9" t="s">
        <v>65</v>
      </c>
      <c r="D119" s="8">
        <v>38337</v>
      </c>
      <c r="E119" s="10" t="str">
        <f t="shared" si="2"/>
        <v>4級</v>
      </c>
      <c r="F119" s="10" t="str">
        <f t="shared" si="3"/>
        <v>除外</v>
      </c>
      <c r="G119" s="13" t="s">
        <v>898</v>
      </c>
      <c r="H119" s="14">
        <v>2446910</v>
      </c>
    </row>
    <row r="120" spans="1:8" ht="42" customHeight="1">
      <c r="A120" s="7">
        <v>114</v>
      </c>
      <c r="B120" s="9" t="s">
        <v>66</v>
      </c>
      <c r="C120" s="9" t="s">
        <v>67</v>
      </c>
      <c r="D120" s="8">
        <v>32834</v>
      </c>
      <c r="E120" s="10" t="str">
        <f t="shared" si="2"/>
        <v>4級</v>
      </c>
      <c r="F120" s="10" t="str">
        <f t="shared" si="3"/>
        <v>除外</v>
      </c>
      <c r="G120" s="13" t="s">
        <v>899</v>
      </c>
      <c r="H120" s="14">
        <v>2430552</v>
      </c>
    </row>
    <row r="121" spans="1:8" ht="42" customHeight="1">
      <c r="A121" s="7">
        <v>115</v>
      </c>
      <c r="B121" s="9" t="s">
        <v>900</v>
      </c>
      <c r="C121" s="9" t="s">
        <v>787</v>
      </c>
      <c r="D121" s="8">
        <v>43313</v>
      </c>
      <c r="E121" s="10" t="str">
        <f t="shared" si="2"/>
        <v>4級</v>
      </c>
      <c r="F121" s="10" t="str">
        <f t="shared" si="3"/>
        <v>採用候補</v>
      </c>
      <c r="G121" s="13" t="s">
        <v>901</v>
      </c>
      <c r="H121" s="14">
        <v>2427938</v>
      </c>
    </row>
    <row r="122" spans="1:8" ht="42" customHeight="1">
      <c r="A122" s="7">
        <v>116</v>
      </c>
      <c r="B122" s="9" t="s">
        <v>902</v>
      </c>
      <c r="C122" s="9" t="s">
        <v>787</v>
      </c>
      <c r="D122" s="8">
        <v>43740</v>
      </c>
      <c r="E122" s="10" t="str">
        <f t="shared" si="2"/>
        <v>4級</v>
      </c>
      <c r="F122" s="10" t="str">
        <f t="shared" si="3"/>
        <v>採用候補</v>
      </c>
      <c r="G122" s="13" t="s">
        <v>903</v>
      </c>
      <c r="H122" s="14">
        <v>2421080</v>
      </c>
    </row>
    <row r="123" spans="1:8" ht="30" customHeight="1">
      <c r="A123" s="7">
        <v>117</v>
      </c>
      <c r="B123" s="9" t="s">
        <v>904</v>
      </c>
      <c r="C123" s="9" t="s">
        <v>682</v>
      </c>
      <c r="D123" s="8">
        <v>42781</v>
      </c>
      <c r="E123" s="10" t="str">
        <f t="shared" si="2"/>
        <v>4級</v>
      </c>
      <c r="F123" s="10" t="str">
        <f t="shared" si="3"/>
        <v>採用候補</v>
      </c>
      <c r="G123" s="13" t="s">
        <v>905</v>
      </c>
      <c r="H123" s="14">
        <v>2403477</v>
      </c>
    </row>
    <row r="124" spans="1:8" ht="30" customHeight="1">
      <c r="A124" s="7">
        <v>118</v>
      </c>
      <c r="B124" s="9" t="s">
        <v>906</v>
      </c>
      <c r="C124" s="9" t="s">
        <v>679</v>
      </c>
      <c r="D124" s="8">
        <v>44421</v>
      </c>
      <c r="E124" s="10" t="str">
        <f t="shared" si="2"/>
        <v>4級</v>
      </c>
      <c r="F124" s="10" t="str">
        <f t="shared" si="3"/>
        <v>採用候補</v>
      </c>
      <c r="G124" s="13" t="s">
        <v>907</v>
      </c>
      <c r="H124" s="14">
        <v>2398304</v>
      </c>
    </row>
    <row r="125" spans="1:8" ht="30" customHeight="1">
      <c r="A125" s="7">
        <v>119</v>
      </c>
      <c r="B125" s="9" t="s">
        <v>68</v>
      </c>
      <c r="C125" s="9" t="s">
        <v>47</v>
      </c>
      <c r="D125" s="8">
        <v>38854</v>
      </c>
      <c r="E125" s="10" t="str">
        <f t="shared" si="2"/>
        <v>4級</v>
      </c>
      <c r="F125" s="10" t="str">
        <f t="shared" si="3"/>
        <v>除外</v>
      </c>
      <c r="G125" s="13" t="s">
        <v>908</v>
      </c>
      <c r="H125" s="14">
        <v>2388456</v>
      </c>
    </row>
    <row r="126" spans="1:8" ht="30" customHeight="1">
      <c r="A126" s="7">
        <v>120</v>
      </c>
      <c r="B126" s="9" t="s">
        <v>909</v>
      </c>
      <c r="C126" s="9" t="s">
        <v>12</v>
      </c>
      <c r="D126" s="8">
        <v>41507</v>
      </c>
      <c r="E126" s="10" t="str">
        <f t="shared" si="2"/>
        <v>4級</v>
      </c>
      <c r="F126" s="10" t="str">
        <f t="shared" si="3"/>
        <v>採用候補</v>
      </c>
      <c r="G126" s="13" t="s">
        <v>910</v>
      </c>
      <c r="H126" s="14">
        <v>2370360</v>
      </c>
    </row>
    <row r="127" spans="1:8" ht="30" customHeight="1">
      <c r="A127" s="7">
        <v>121</v>
      </c>
      <c r="B127" s="9" t="s">
        <v>911</v>
      </c>
      <c r="C127" s="9" t="s">
        <v>157</v>
      </c>
      <c r="D127" s="8">
        <v>42480</v>
      </c>
      <c r="E127" s="10" t="str">
        <f t="shared" si="2"/>
        <v>4級</v>
      </c>
      <c r="F127" s="10" t="str">
        <f t="shared" si="3"/>
        <v>採用候補</v>
      </c>
      <c r="G127" s="13" t="s">
        <v>912</v>
      </c>
      <c r="H127" s="14">
        <v>2369389</v>
      </c>
    </row>
    <row r="128" spans="1:8" ht="30" customHeight="1">
      <c r="A128" s="7">
        <v>122</v>
      </c>
      <c r="B128" s="9" t="s">
        <v>69</v>
      </c>
      <c r="C128" s="9" t="s">
        <v>70</v>
      </c>
      <c r="D128" s="8">
        <v>36964</v>
      </c>
      <c r="E128" s="10" t="str">
        <f t="shared" si="2"/>
        <v>4級</v>
      </c>
      <c r="F128" s="10" t="str">
        <f t="shared" si="3"/>
        <v>除外</v>
      </c>
      <c r="G128" s="13" t="s">
        <v>913</v>
      </c>
      <c r="H128" s="14">
        <v>2356631</v>
      </c>
    </row>
    <row r="129" spans="1:8" ht="30" customHeight="1">
      <c r="A129" s="7">
        <v>123</v>
      </c>
      <c r="B129" s="9" t="s">
        <v>914</v>
      </c>
      <c r="C129" s="9" t="s">
        <v>698</v>
      </c>
      <c r="D129" s="8">
        <v>41059</v>
      </c>
      <c r="E129" s="10" t="str">
        <f t="shared" si="2"/>
        <v>4級</v>
      </c>
      <c r="F129" s="10" t="str">
        <f t="shared" si="3"/>
        <v>採用候補</v>
      </c>
      <c r="G129" s="13" t="s">
        <v>915</v>
      </c>
      <c r="H129" s="14">
        <v>2347373</v>
      </c>
    </row>
    <row r="130" spans="1:8" ht="30" customHeight="1">
      <c r="A130" s="7">
        <v>124</v>
      </c>
      <c r="B130" s="9" t="s">
        <v>916</v>
      </c>
      <c r="C130" s="9" t="s">
        <v>682</v>
      </c>
      <c r="D130" s="8">
        <v>42907</v>
      </c>
      <c r="E130" s="10" t="str">
        <f t="shared" si="2"/>
        <v>4級</v>
      </c>
      <c r="F130" s="10" t="str">
        <f t="shared" si="3"/>
        <v>採用候補</v>
      </c>
      <c r="G130" s="13" t="s">
        <v>917</v>
      </c>
      <c r="H130" s="14">
        <v>2340685</v>
      </c>
    </row>
    <row r="131" spans="1:8" ht="30" customHeight="1">
      <c r="A131" s="7">
        <v>125</v>
      </c>
      <c r="B131" s="9" t="s">
        <v>71</v>
      </c>
      <c r="C131" s="9" t="s">
        <v>72</v>
      </c>
      <c r="D131" s="8">
        <v>39750</v>
      </c>
      <c r="E131" s="10" t="str">
        <f t="shared" si="2"/>
        <v>4級</v>
      </c>
      <c r="F131" s="10" t="str">
        <f t="shared" si="3"/>
        <v>除外</v>
      </c>
      <c r="G131" s="13" t="s">
        <v>918</v>
      </c>
      <c r="H131" s="14">
        <v>2338678</v>
      </c>
    </row>
    <row r="132" spans="1:8" ht="30" customHeight="1">
      <c r="A132" s="7">
        <v>126</v>
      </c>
      <c r="B132" s="9" t="s">
        <v>919</v>
      </c>
      <c r="C132" s="9" t="s">
        <v>894</v>
      </c>
      <c r="D132" s="8">
        <v>43870</v>
      </c>
      <c r="E132" s="10" t="str">
        <f t="shared" si="2"/>
        <v>4級</v>
      </c>
      <c r="F132" s="10" t="str">
        <f t="shared" si="3"/>
        <v>採用候補</v>
      </c>
      <c r="G132" s="13" t="s">
        <v>920</v>
      </c>
      <c r="H132" s="14">
        <v>2333593</v>
      </c>
    </row>
    <row r="133" spans="1:8" ht="30" customHeight="1">
      <c r="A133" s="7">
        <v>127</v>
      </c>
      <c r="B133" s="9" t="s">
        <v>73</v>
      </c>
      <c r="C133" s="9" t="s">
        <v>74</v>
      </c>
      <c r="D133" s="8">
        <v>39988</v>
      </c>
      <c r="E133" s="10" t="str">
        <f t="shared" si="2"/>
        <v>4級</v>
      </c>
      <c r="F133" s="10" t="str">
        <f t="shared" si="3"/>
        <v>除外</v>
      </c>
      <c r="G133" s="13" t="s">
        <v>921</v>
      </c>
      <c r="H133" s="14">
        <v>2329496</v>
      </c>
    </row>
    <row r="134" spans="1:8" ht="30" customHeight="1">
      <c r="A134" s="7">
        <v>128</v>
      </c>
      <c r="B134" s="9" t="s">
        <v>922</v>
      </c>
      <c r="C134" s="9" t="s">
        <v>923</v>
      </c>
      <c r="D134" s="8">
        <v>43243</v>
      </c>
      <c r="E134" s="10" t="str">
        <f t="shared" si="2"/>
        <v>4級</v>
      </c>
      <c r="F134" s="10" t="str">
        <f t="shared" si="3"/>
        <v>採用候補</v>
      </c>
      <c r="G134" s="13" t="s">
        <v>924</v>
      </c>
      <c r="H134" s="14">
        <v>2325149</v>
      </c>
    </row>
    <row r="135" spans="1:8" ht="30" customHeight="1">
      <c r="A135" s="7">
        <v>129</v>
      </c>
      <c r="B135" s="9" t="s">
        <v>925</v>
      </c>
      <c r="C135" s="9" t="s">
        <v>693</v>
      </c>
      <c r="D135" s="8">
        <v>43677</v>
      </c>
      <c r="E135" s="10" t="str">
        <f t="shared" ref="E135:E198" si="4">CHOOSE(INT((A135-1)/100)+1,"5級","4級","3級","2級","1級","初段","二段","三段","四段","五段")</f>
        <v>4級</v>
      </c>
      <c r="F135" s="10" t="str">
        <f t="shared" ref="F135:F198" si="5">IF(D135&gt;=DATE(2010,1,1),"採用候補","除外")</f>
        <v>採用候補</v>
      </c>
      <c r="G135" s="13" t="s">
        <v>926</v>
      </c>
      <c r="H135" s="14">
        <v>2324125</v>
      </c>
    </row>
    <row r="136" spans="1:8" ht="30" customHeight="1">
      <c r="A136" s="7">
        <v>130</v>
      </c>
      <c r="B136" s="9" t="s">
        <v>927</v>
      </c>
      <c r="C136" s="9" t="s">
        <v>155</v>
      </c>
      <c r="D136" s="8">
        <v>42123</v>
      </c>
      <c r="E136" s="10" t="str">
        <f t="shared" si="4"/>
        <v>4級</v>
      </c>
      <c r="F136" s="10" t="str">
        <f t="shared" si="5"/>
        <v>採用候補</v>
      </c>
      <c r="G136" s="13" t="s">
        <v>928</v>
      </c>
      <c r="H136" s="14">
        <v>2318160</v>
      </c>
    </row>
    <row r="137" spans="1:8" ht="30" customHeight="1">
      <c r="A137" s="7">
        <v>131</v>
      </c>
      <c r="B137" s="9" t="s">
        <v>929</v>
      </c>
      <c r="C137" s="9" t="s">
        <v>780</v>
      </c>
      <c r="D137" s="8">
        <v>42802</v>
      </c>
      <c r="E137" s="10" t="str">
        <f t="shared" si="4"/>
        <v>4級</v>
      </c>
      <c r="F137" s="10" t="str">
        <f t="shared" si="5"/>
        <v>採用候補</v>
      </c>
      <c r="G137" s="13" t="s">
        <v>930</v>
      </c>
      <c r="H137" s="14">
        <v>2317453</v>
      </c>
    </row>
    <row r="138" spans="1:8" ht="30" customHeight="1">
      <c r="A138" s="7">
        <v>132</v>
      </c>
      <c r="B138" s="9" t="s">
        <v>931</v>
      </c>
      <c r="C138" s="9" t="s">
        <v>722</v>
      </c>
      <c r="D138" s="8">
        <v>43999</v>
      </c>
      <c r="E138" s="10" t="str">
        <f t="shared" si="4"/>
        <v>4級</v>
      </c>
      <c r="F138" s="10" t="str">
        <f t="shared" si="5"/>
        <v>採用候補</v>
      </c>
      <c r="G138" s="13" t="s">
        <v>932</v>
      </c>
      <c r="H138" s="14">
        <v>2305013</v>
      </c>
    </row>
    <row r="139" spans="1:8" ht="30" customHeight="1">
      <c r="A139" s="7">
        <v>133</v>
      </c>
      <c r="B139" s="9" t="s">
        <v>75</v>
      </c>
      <c r="C139" s="9" t="s">
        <v>65</v>
      </c>
      <c r="D139" s="8">
        <v>38483</v>
      </c>
      <c r="E139" s="10" t="str">
        <f t="shared" si="4"/>
        <v>4級</v>
      </c>
      <c r="F139" s="10" t="str">
        <f t="shared" si="5"/>
        <v>除外</v>
      </c>
      <c r="G139" s="13" t="s">
        <v>933</v>
      </c>
      <c r="H139" s="14">
        <v>2301657</v>
      </c>
    </row>
    <row r="140" spans="1:8" ht="30" customHeight="1">
      <c r="A140" s="7">
        <v>134</v>
      </c>
      <c r="B140" s="9" t="s">
        <v>934</v>
      </c>
      <c r="C140" s="9" t="s">
        <v>161</v>
      </c>
      <c r="D140" s="8">
        <v>40933</v>
      </c>
      <c r="E140" s="10" t="str">
        <f t="shared" si="4"/>
        <v>4級</v>
      </c>
      <c r="F140" s="10" t="str">
        <f t="shared" si="5"/>
        <v>採用候補</v>
      </c>
      <c r="G140" s="13" t="s">
        <v>935</v>
      </c>
      <c r="H140" s="14">
        <v>2300472</v>
      </c>
    </row>
    <row r="141" spans="1:8" ht="30" customHeight="1">
      <c r="A141" s="7">
        <v>135</v>
      </c>
      <c r="B141" s="9" t="s">
        <v>936</v>
      </c>
      <c r="C141" s="9" t="s">
        <v>682</v>
      </c>
      <c r="D141" s="8">
        <v>44846</v>
      </c>
      <c r="E141" s="10" t="str">
        <f t="shared" si="4"/>
        <v>4級</v>
      </c>
      <c r="F141" s="10" t="str">
        <f t="shared" si="5"/>
        <v>採用候補</v>
      </c>
      <c r="G141" s="13" t="s">
        <v>937</v>
      </c>
      <c r="H141" s="14">
        <v>2286870</v>
      </c>
    </row>
    <row r="142" spans="1:8" ht="30" customHeight="1">
      <c r="A142" s="7">
        <v>136</v>
      </c>
      <c r="B142" s="9" t="s">
        <v>938</v>
      </c>
      <c r="C142" s="9" t="s">
        <v>939</v>
      </c>
      <c r="D142" s="8">
        <v>42235</v>
      </c>
      <c r="E142" s="10" t="str">
        <f t="shared" si="4"/>
        <v>4級</v>
      </c>
      <c r="F142" s="10" t="str">
        <f t="shared" si="5"/>
        <v>採用候補</v>
      </c>
      <c r="G142" s="13" t="s">
        <v>940</v>
      </c>
      <c r="H142" s="14">
        <v>2284095</v>
      </c>
    </row>
    <row r="143" spans="1:8" ht="30" customHeight="1">
      <c r="A143" s="7">
        <v>137</v>
      </c>
      <c r="B143" s="9" t="s">
        <v>941</v>
      </c>
      <c r="C143" s="9" t="s">
        <v>942</v>
      </c>
      <c r="D143" s="8">
        <v>44886</v>
      </c>
      <c r="E143" s="10" t="str">
        <f t="shared" si="4"/>
        <v>4級</v>
      </c>
      <c r="F143" s="10" t="str">
        <f t="shared" si="5"/>
        <v>採用候補</v>
      </c>
      <c r="G143" s="13" t="s">
        <v>943</v>
      </c>
      <c r="H143" s="14">
        <v>2273321</v>
      </c>
    </row>
    <row r="144" spans="1:8" ht="30" customHeight="1">
      <c r="A144" s="7">
        <v>138</v>
      </c>
      <c r="B144" s="9" t="s">
        <v>76</v>
      </c>
      <c r="C144" s="9" t="s">
        <v>77</v>
      </c>
      <c r="D144" s="8">
        <v>40086</v>
      </c>
      <c r="E144" s="10" t="str">
        <f t="shared" si="4"/>
        <v>4級</v>
      </c>
      <c r="F144" s="10" t="str">
        <f t="shared" si="5"/>
        <v>除外</v>
      </c>
      <c r="G144" s="13" t="s">
        <v>944</v>
      </c>
      <c r="H144" s="14">
        <v>2269083</v>
      </c>
    </row>
    <row r="145" spans="1:8" ht="30" customHeight="1">
      <c r="A145" s="7">
        <v>139</v>
      </c>
      <c r="B145" s="9" t="s">
        <v>78</v>
      </c>
      <c r="C145" s="9" t="s">
        <v>79</v>
      </c>
      <c r="D145" s="8">
        <v>39855</v>
      </c>
      <c r="E145" s="10" t="str">
        <f t="shared" si="4"/>
        <v>4級</v>
      </c>
      <c r="F145" s="10" t="str">
        <f t="shared" si="5"/>
        <v>除外</v>
      </c>
      <c r="G145" s="13" t="s">
        <v>945</v>
      </c>
      <c r="H145" s="14">
        <v>2259217</v>
      </c>
    </row>
    <row r="146" spans="1:8" ht="30" customHeight="1">
      <c r="A146" s="7">
        <v>140</v>
      </c>
      <c r="B146" s="9" t="s">
        <v>946</v>
      </c>
      <c r="C146" s="9" t="s">
        <v>775</v>
      </c>
      <c r="D146" s="8">
        <v>42235</v>
      </c>
      <c r="E146" s="10" t="str">
        <f t="shared" si="4"/>
        <v>4級</v>
      </c>
      <c r="F146" s="10" t="str">
        <f t="shared" si="5"/>
        <v>採用候補</v>
      </c>
      <c r="G146" s="13" t="s">
        <v>947</v>
      </c>
      <c r="H146" s="14">
        <v>2258422</v>
      </c>
    </row>
    <row r="147" spans="1:8" ht="30" customHeight="1">
      <c r="A147" s="7">
        <v>141</v>
      </c>
      <c r="B147" s="9" t="s">
        <v>80</v>
      </c>
      <c r="C147" s="9" t="s">
        <v>81</v>
      </c>
      <c r="D147" s="8">
        <v>33826</v>
      </c>
      <c r="E147" s="10" t="str">
        <f t="shared" si="4"/>
        <v>4級</v>
      </c>
      <c r="F147" s="10" t="str">
        <f t="shared" si="5"/>
        <v>除外</v>
      </c>
      <c r="G147" s="13" t="s">
        <v>948</v>
      </c>
      <c r="H147" s="14">
        <v>2245299</v>
      </c>
    </row>
    <row r="148" spans="1:8" ht="30" customHeight="1">
      <c r="A148" s="7">
        <v>142</v>
      </c>
      <c r="B148" s="9" t="s">
        <v>949</v>
      </c>
      <c r="C148" s="9" t="s">
        <v>19</v>
      </c>
      <c r="D148" s="8">
        <v>40513</v>
      </c>
      <c r="E148" s="10" t="str">
        <f t="shared" si="4"/>
        <v>4級</v>
      </c>
      <c r="F148" s="10" t="str">
        <f t="shared" si="5"/>
        <v>採用候補</v>
      </c>
      <c r="G148" s="13" t="s">
        <v>950</v>
      </c>
      <c r="H148" s="14">
        <v>2240199</v>
      </c>
    </row>
    <row r="149" spans="1:8" ht="30" customHeight="1">
      <c r="A149" s="7">
        <v>143</v>
      </c>
      <c r="B149" s="9" t="s">
        <v>951</v>
      </c>
      <c r="C149" s="9" t="s">
        <v>698</v>
      </c>
      <c r="D149" s="8">
        <v>44734</v>
      </c>
      <c r="E149" s="10" t="str">
        <f t="shared" si="4"/>
        <v>4級</v>
      </c>
      <c r="F149" s="10" t="str">
        <f t="shared" si="5"/>
        <v>採用候補</v>
      </c>
      <c r="G149" s="13" t="s">
        <v>952</v>
      </c>
      <c r="H149" s="14">
        <v>2234529</v>
      </c>
    </row>
    <row r="150" spans="1:8" ht="30" customHeight="1">
      <c r="A150" s="7">
        <v>144</v>
      </c>
      <c r="B150" s="9" t="s">
        <v>82</v>
      </c>
      <c r="C150" s="9" t="s">
        <v>83</v>
      </c>
      <c r="D150" s="8">
        <v>36229</v>
      </c>
      <c r="E150" s="10" t="str">
        <f t="shared" si="4"/>
        <v>4級</v>
      </c>
      <c r="F150" s="10" t="str">
        <f t="shared" si="5"/>
        <v>除外</v>
      </c>
      <c r="G150" s="13" t="s">
        <v>953</v>
      </c>
      <c r="H150" s="14">
        <v>2221562</v>
      </c>
    </row>
    <row r="151" spans="1:8" ht="30" customHeight="1">
      <c r="A151" s="7">
        <v>145</v>
      </c>
      <c r="B151" s="9" t="s">
        <v>954</v>
      </c>
      <c r="C151" s="9" t="s">
        <v>955</v>
      </c>
      <c r="D151" s="8">
        <v>42277</v>
      </c>
      <c r="E151" s="10" t="str">
        <f t="shared" si="4"/>
        <v>4級</v>
      </c>
      <c r="F151" s="10" t="str">
        <f t="shared" si="5"/>
        <v>採用候補</v>
      </c>
      <c r="G151" s="13" t="s">
        <v>956</v>
      </c>
      <c r="H151" s="14">
        <v>2219602</v>
      </c>
    </row>
    <row r="152" spans="1:8" ht="30" customHeight="1">
      <c r="A152" s="7">
        <v>146</v>
      </c>
      <c r="B152" s="9" t="s">
        <v>957</v>
      </c>
      <c r="C152" s="9" t="s">
        <v>393</v>
      </c>
      <c r="D152" s="8">
        <v>40884</v>
      </c>
      <c r="E152" s="10" t="str">
        <f t="shared" si="4"/>
        <v>4級</v>
      </c>
      <c r="F152" s="10" t="str">
        <f t="shared" si="5"/>
        <v>採用候補</v>
      </c>
      <c r="G152" s="13" t="s">
        <v>958</v>
      </c>
      <c r="H152" s="14">
        <v>2210898</v>
      </c>
    </row>
    <row r="153" spans="1:8" ht="30" customHeight="1">
      <c r="A153" s="7">
        <v>147</v>
      </c>
      <c r="B153" s="9" t="s">
        <v>84</v>
      </c>
      <c r="C153" s="9" t="s">
        <v>27</v>
      </c>
      <c r="D153" s="8">
        <v>38196</v>
      </c>
      <c r="E153" s="10" t="str">
        <f t="shared" si="4"/>
        <v>4級</v>
      </c>
      <c r="F153" s="10" t="str">
        <f t="shared" si="5"/>
        <v>除外</v>
      </c>
      <c r="G153" s="13" t="s">
        <v>959</v>
      </c>
      <c r="H153" s="14">
        <v>2210449</v>
      </c>
    </row>
    <row r="154" spans="1:8" ht="30" customHeight="1">
      <c r="A154" s="7">
        <v>148</v>
      </c>
      <c r="B154" s="9" t="s">
        <v>960</v>
      </c>
      <c r="C154" s="9" t="s">
        <v>247</v>
      </c>
      <c r="D154" s="8">
        <v>41150</v>
      </c>
      <c r="E154" s="10" t="str">
        <f t="shared" si="4"/>
        <v>4級</v>
      </c>
      <c r="F154" s="10" t="str">
        <f t="shared" si="5"/>
        <v>採用候補</v>
      </c>
      <c r="G154" s="13" t="s">
        <v>961</v>
      </c>
      <c r="H154" s="14">
        <v>2205028</v>
      </c>
    </row>
    <row r="155" spans="1:8" ht="30" customHeight="1">
      <c r="A155" s="7">
        <v>149</v>
      </c>
      <c r="B155" s="9" t="s">
        <v>962</v>
      </c>
      <c r="C155" s="9" t="s">
        <v>758</v>
      </c>
      <c r="D155" s="8">
        <v>41143</v>
      </c>
      <c r="E155" s="10" t="str">
        <f t="shared" si="4"/>
        <v>4級</v>
      </c>
      <c r="F155" s="10" t="str">
        <f t="shared" si="5"/>
        <v>採用候補</v>
      </c>
      <c r="G155" s="13" t="s">
        <v>963</v>
      </c>
      <c r="H155" s="14">
        <v>2201909</v>
      </c>
    </row>
    <row r="156" spans="1:8" ht="30" customHeight="1">
      <c r="A156" s="7">
        <v>150</v>
      </c>
      <c r="B156" s="9" t="s">
        <v>964</v>
      </c>
      <c r="C156" s="9" t="s">
        <v>465</v>
      </c>
      <c r="D156" s="8">
        <v>41857</v>
      </c>
      <c r="E156" s="10" t="str">
        <f t="shared" si="4"/>
        <v>4級</v>
      </c>
      <c r="F156" s="10" t="str">
        <f t="shared" si="5"/>
        <v>採用候補</v>
      </c>
      <c r="G156" s="13" t="s">
        <v>965</v>
      </c>
      <c r="H156" s="14">
        <v>2200660</v>
      </c>
    </row>
    <row r="157" spans="1:8" ht="30" customHeight="1">
      <c r="A157" s="7">
        <v>151</v>
      </c>
      <c r="B157" s="9" t="s">
        <v>966</v>
      </c>
      <c r="C157" s="9" t="s">
        <v>679</v>
      </c>
      <c r="D157" s="8">
        <v>40639</v>
      </c>
      <c r="E157" s="10" t="str">
        <f t="shared" si="4"/>
        <v>4級</v>
      </c>
      <c r="F157" s="10" t="str">
        <f t="shared" si="5"/>
        <v>採用候補</v>
      </c>
      <c r="G157" s="13" t="s">
        <v>967</v>
      </c>
      <c r="H157" s="14">
        <v>2200061</v>
      </c>
    </row>
    <row r="158" spans="1:8" ht="30" customHeight="1">
      <c r="A158" s="7">
        <v>152</v>
      </c>
      <c r="B158" s="9" t="s">
        <v>968</v>
      </c>
      <c r="C158" s="9" t="s">
        <v>693</v>
      </c>
      <c r="D158" s="8">
        <v>44323</v>
      </c>
      <c r="E158" s="10" t="str">
        <f t="shared" si="4"/>
        <v>4級</v>
      </c>
      <c r="F158" s="10" t="str">
        <f t="shared" si="5"/>
        <v>採用候補</v>
      </c>
      <c r="G158" s="13" t="s">
        <v>969</v>
      </c>
      <c r="H158" s="14">
        <v>2180121</v>
      </c>
    </row>
    <row r="159" spans="1:8" ht="30" customHeight="1">
      <c r="A159" s="7">
        <v>153</v>
      </c>
      <c r="B159" s="9" t="s">
        <v>85</v>
      </c>
      <c r="C159" s="9" t="s">
        <v>86</v>
      </c>
      <c r="D159" s="8">
        <v>36481</v>
      </c>
      <c r="E159" s="10" t="str">
        <f t="shared" si="4"/>
        <v>4級</v>
      </c>
      <c r="F159" s="10" t="str">
        <f t="shared" si="5"/>
        <v>除外</v>
      </c>
      <c r="G159" s="13" t="s">
        <v>970</v>
      </c>
      <c r="H159" s="14">
        <v>2179165</v>
      </c>
    </row>
    <row r="160" spans="1:8" ht="30" customHeight="1">
      <c r="A160" s="7">
        <v>154</v>
      </c>
      <c r="B160" s="9" t="s">
        <v>971</v>
      </c>
      <c r="C160" s="9" t="s">
        <v>755</v>
      </c>
      <c r="D160" s="8">
        <v>44783</v>
      </c>
      <c r="E160" s="10" t="str">
        <f t="shared" si="4"/>
        <v>4級</v>
      </c>
      <c r="F160" s="10" t="str">
        <f t="shared" si="5"/>
        <v>採用候補</v>
      </c>
      <c r="G160" s="13" t="s">
        <v>972</v>
      </c>
      <c r="H160" s="14">
        <v>2163640</v>
      </c>
    </row>
    <row r="161" spans="1:8" ht="30" customHeight="1">
      <c r="A161" s="7">
        <v>155</v>
      </c>
      <c r="B161" s="9" t="s">
        <v>973</v>
      </c>
      <c r="C161" s="9" t="s">
        <v>974</v>
      </c>
      <c r="D161" s="8">
        <v>42970</v>
      </c>
      <c r="E161" s="10" t="str">
        <f t="shared" si="4"/>
        <v>4級</v>
      </c>
      <c r="F161" s="10" t="str">
        <f t="shared" si="5"/>
        <v>採用候補</v>
      </c>
      <c r="G161" s="13" t="s">
        <v>975</v>
      </c>
      <c r="H161" s="14">
        <v>2162621</v>
      </c>
    </row>
    <row r="162" spans="1:8" ht="30" customHeight="1">
      <c r="A162" s="7">
        <v>156</v>
      </c>
      <c r="B162" s="9" t="s">
        <v>976</v>
      </c>
      <c r="C162" s="9" t="s">
        <v>977</v>
      </c>
      <c r="D162" s="8">
        <v>41696</v>
      </c>
      <c r="E162" s="10" t="str">
        <f t="shared" si="4"/>
        <v>4級</v>
      </c>
      <c r="F162" s="10" t="str">
        <f t="shared" si="5"/>
        <v>採用候補</v>
      </c>
      <c r="G162" s="13" t="s">
        <v>978</v>
      </c>
      <c r="H162" s="14">
        <v>2154848</v>
      </c>
    </row>
    <row r="163" spans="1:8" ht="30" customHeight="1">
      <c r="A163" s="7">
        <v>157</v>
      </c>
      <c r="B163" s="9" t="s">
        <v>979</v>
      </c>
      <c r="C163" s="9" t="s">
        <v>679</v>
      </c>
      <c r="D163" s="8">
        <v>41059</v>
      </c>
      <c r="E163" s="10" t="str">
        <f t="shared" si="4"/>
        <v>4級</v>
      </c>
      <c r="F163" s="10" t="str">
        <f t="shared" si="5"/>
        <v>採用候補</v>
      </c>
      <c r="G163" s="13" t="s">
        <v>980</v>
      </c>
      <c r="H163" s="14">
        <v>2134529</v>
      </c>
    </row>
    <row r="164" spans="1:8" ht="42" customHeight="1">
      <c r="A164" s="7">
        <v>158</v>
      </c>
      <c r="B164" s="9" t="s">
        <v>981</v>
      </c>
      <c r="C164" s="9" t="s">
        <v>787</v>
      </c>
      <c r="D164" s="8">
        <v>45677</v>
      </c>
      <c r="E164" s="10" t="str">
        <f t="shared" si="4"/>
        <v>4級</v>
      </c>
      <c r="F164" s="10" t="str">
        <f t="shared" si="5"/>
        <v>採用候補</v>
      </c>
      <c r="G164" s="13" t="s">
        <v>982</v>
      </c>
      <c r="H164" s="14">
        <v>2132638</v>
      </c>
    </row>
    <row r="165" spans="1:8" ht="30" customHeight="1">
      <c r="A165" s="7">
        <v>159</v>
      </c>
      <c r="B165" s="9" t="s">
        <v>87</v>
      </c>
      <c r="C165" s="9" t="s">
        <v>88</v>
      </c>
      <c r="D165" s="8">
        <v>33079</v>
      </c>
      <c r="E165" s="10" t="str">
        <f t="shared" si="4"/>
        <v>4級</v>
      </c>
      <c r="F165" s="10" t="str">
        <f t="shared" si="5"/>
        <v>除外</v>
      </c>
      <c r="G165" s="13" t="s">
        <v>983</v>
      </c>
      <c r="H165" s="14">
        <v>2129874</v>
      </c>
    </row>
    <row r="166" spans="1:8" ht="30" customHeight="1">
      <c r="A166" s="7">
        <v>160</v>
      </c>
      <c r="B166" s="9" t="s">
        <v>89</v>
      </c>
      <c r="C166" s="9" t="s">
        <v>47</v>
      </c>
      <c r="D166" s="8">
        <v>38924</v>
      </c>
      <c r="E166" s="10" t="str">
        <f t="shared" si="4"/>
        <v>4級</v>
      </c>
      <c r="F166" s="10" t="str">
        <f t="shared" si="5"/>
        <v>除外</v>
      </c>
      <c r="G166" s="13" t="s">
        <v>984</v>
      </c>
      <c r="H166" s="14">
        <v>2129515</v>
      </c>
    </row>
    <row r="167" spans="1:8" ht="30" customHeight="1">
      <c r="A167" s="7">
        <v>161</v>
      </c>
      <c r="B167" s="9" t="s">
        <v>985</v>
      </c>
      <c r="C167" s="9" t="s">
        <v>722</v>
      </c>
      <c r="D167" s="8">
        <v>42067</v>
      </c>
      <c r="E167" s="10" t="str">
        <f t="shared" si="4"/>
        <v>4級</v>
      </c>
      <c r="F167" s="10" t="str">
        <f t="shared" si="5"/>
        <v>採用候補</v>
      </c>
      <c r="G167" s="13" t="s">
        <v>986</v>
      </c>
      <c r="H167" s="14">
        <v>2124540</v>
      </c>
    </row>
    <row r="168" spans="1:8" ht="30" customHeight="1">
      <c r="A168" s="7">
        <v>162</v>
      </c>
      <c r="B168" s="9" t="s">
        <v>90</v>
      </c>
      <c r="C168" s="9" t="s">
        <v>91</v>
      </c>
      <c r="D168" s="8">
        <v>37048</v>
      </c>
      <c r="E168" s="10" t="str">
        <f t="shared" si="4"/>
        <v>4級</v>
      </c>
      <c r="F168" s="10" t="str">
        <f t="shared" si="5"/>
        <v>除外</v>
      </c>
      <c r="G168" s="13" t="s">
        <v>987</v>
      </c>
      <c r="H168" s="14">
        <v>2120677</v>
      </c>
    </row>
    <row r="169" spans="1:8" ht="30" customHeight="1">
      <c r="A169" s="7">
        <v>163</v>
      </c>
      <c r="B169" s="9" t="s">
        <v>92</v>
      </c>
      <c r="C169" s="9" t="s">
        <v>45</v>
      </c>
      <c r="D169" s="8">
        <v>39330</v>
      </c>
      <c r="E169" s="10" t="str">
        <f t="shared" si="4"/>
        <v>4級</v>
      </c>
      <c r="F169" s="10" t="str">
        <f t="shared" si="5"/>
        <v>除外</v>
      </c>
      <c r="G169" s="13" t="s">
        <v>988</v>
      </c>
      <c r="H169" s="14">
        <v>2114386</v>
      </c>
    </row>
    <row r="170" spans="1:8" ht="30" customHeight="1">
      <c r="A170" s="7">
        <v>164</v>
      </c>
      <c r="B170" s="9" t="s">
        <v>989</v>
      </c>
      <c r="C170" s="9" t="s">
        <v>155</v>
      </c>
      <c r="D170" s="8">
        <v>41864</v>
      </c>
      <c r="E170" s="10" t="str">
        <f t="shared" si="4"/>
        <v>4級</v>
      </c>
      <c r="F170" s="10" t="str">
        <f t="shared" si="5"/>
        <v>採用候補</v>
      </c>
      <c r="G170" s="13" t="s">
        <v>990</v>
      </c>
      <c r="H170" s="14">
        <v>2108926</v>
      </c>
    </row>
    <row r="171" spans="1:8" ht="30" customHeight="1">
      <c r="A171" s="7">
        <v>165</v>
      </c>
      <c r="B171" s="9" t="s">
        <v>991</v>
      </c>
      <c r="C171" s="9" t="s">
        <v>679</v>
      </c>
      <c r="D171" s="8">
        <v>40639</v>
      </c>
      <c r="E171" s="10" t="str">
        <f t="shared" si="4"/>
        <v>4級</v>
      </c>
      <c r="F171" s="10" t="str">
        <f t="shared" si="5"/>
        <v>採用候補</v>
      </c>
      <c r="G171" s="13" t="s">
        <v>992</v>
      </c>
      <c r="H171" s="14">
        <v>2101808</v>
      </c>
    </row>
    <row r="172" spans="1:8" ht="30" customHeight="1">
      <c r="A172" s="7">
        <v>166</v>
      </c>
      <c r="B172" s="9" t="s">
        <v>993</v>
      </c>
      <c r="C172" s="9" t="s">
        <v>738</v>
      </c>
      <c r="D172" s="8">
        <v>44504</v>
      </c>
      <c r="E172" s="10" t="str">
        <f t="shared" si="4"/>
        <v>4級</v>
      </c>
      <c r="F172" s="10" t="str">
        <f t="shared" si="5"/>
        <v>採用候補</v>
      </c>
      <c r="G172" s="13" t="s">
        <v>994</v>
      </c>
      <c r="H172" s="14">
        <v>2097325</v>
      </c>
    </row>
    <row r="173" spans="1:8" ht="42" customHeight="1">
      <c r="A173" s="7">
        <v>167</v>
      </c>
      <c r="B173" s="9" t="s">
        <v>995</v>
      </c>
      <c r="C173" s="9" t="s">
        <v>787</v>
      </c>
      <c r="D173" s="8">
        <v>44874</v>
      </c>
      <c r="E173" s="10" t="str">
        <f t="shared" si="4"/>
        <v>4級</v>
      </c>
      <c r="F173" s="10" t="str">
        <f t="shared" si="5"/>
        <v>採用候補</v>
      </c>
      <c r="G173" s="13" t="s">
        <v>996</v>
      </c>
      <c r="H173" s="14">
        <v>2085869</v>
      </c>
    </row>
    <row r="174" spans="1:8" ht="42" customHeight="1">
      <c r="A174" s="7">
        <v>168</v>
      </c>
      <c r="B174" s="9" t="s">
        <v>997</v>
      </c>
      <c r="C174" s="9" t="s">
        <v>438</v>
      </c>
      <c r="D174" s="8">
        <v>40268</v>
      </c>
      <c r="E174" s="10" t="str">
        <f t="shared" si="4"/>
        <v>4級</v>
      </c>
      <c r="F174" s="10" t="str">
        <f t="shared" si="5"/>
        <v>採用候補</v>
      </c>
      <c r="G174" s="13" t="s">
        <v>998</v>
      </c>
      <c r="H174" s="14">
        <v>2073730</v>
      </c>
    </row>
    <row r="175" spans="1:8" ht="30" customHeight="1">
      <c r="A175" s="7">
        <v>169</v>
      </c>
      <c r="B175" s="9" t="s">
        <v>999</v>
      </c>
      <c r="C175" s="9" t="s">
        <v>679</v>
      </c>
      <c r="D175" s="8">
        <v>41675</v>
      </c>
      <c r="E175" s="10" t="str">
        <f t="shared" si="4"/>
        <v>4級</v>
      </c>
      <c r="F175" s="10" t="str">
        <f t="shared" si="5"/>
        <v>採用候補</v>
      </c>
      <c r="G175" s="13" t="s">
        <v>1000</v>
      </c>
      <c r="H175" s="14">
        <v>2073095</v>
      </c>
    </row>
    <row r="176" spans="1:8" ht="30" customHeight="1">
      <c r="A176" s="7">
        <v>170</v>
      </c>
      <c r="B176" s="9" t="s">
        <v>1001</v>
      </c>
      <c r="C176" s="9" t="s">
        <v>58</v>
      </c>
      <c r="D176" s="8">
        <v>40891</v>
      </c>
      <c r="E176" s="10" t="str">
        <f t="shared" si="4"/>
        <v>4級</v>
      </c>
      <c r="F176" s="10" t="str">
        <f t="shared" si="5"/>
        <v>採用候補</v>
      </c>
      <c r="G176" s="13" t="s">
        <v>1002</v>
      </c>
      <c r="H176" s="14">
        <v>2071158</v>
      </c>
    </row>
    <row r="177" spans="1:8" ht="30" customHeight="1">
      <c r="A177" s="7">
        <v>171</v>
      </c>
      <c r="B177" s="9" t="s">
        <v>1003</v>
      </c>
      <c r="C177" s="9" t="s">
        <v>955</v>
      </c>
      <c r="D177" s="8">
        <v>45708</v>
      </c>
      <c r="E177" s="10" t="str">
        <f t="shared" si="4"/>
        <v>4級</v>
      </c>
      <c r="F177" s="10" t="str">
        <f t="shared" si="5"/>
        <v>採用候補</v>
      </c>
      <c r="G177" s="13" t="s">
        <v>1004</v>
      </c>
      <c r="H177" s="14">
        <v>2069756</v>
      </c>
    </row>
    <row r="178" spans="1:8" ht="30" customHeight="1">
      <c r="A178" s="7">
        <v>172</v>
      </c>
      <c r="B178" s="9" t="s">
        <v>93</v>
      </c>
      <c r="C178" s="9" t="s">
        <v>94</v>
      </c>
      <c r="D178" s="8">
        <v>36425</v>
      </c>
      <c r="E178" s="10" t="str">
        <f t="shared" si="4"/>
        <v>4級</v>
      </c>
      <c r="F178" s="10" t="str">
        <f t="shared" si="5"/>
        <v>除外</v>
      </c>
      <c r="G178" s="13" t="s">
        <v>1005</v>
      </c>
      <c r="H178" s="14">
        <v>2069205</v>
      </c>
    </row>
    <row r="179" spans="1:8" ht="30" customHeight="1">
      <c r="A179" s="7">
        <v>173</v>
      </c>
      <c r="B179" s="9" t="s">
        <v>1006</v>
      </c>
      <c r="C179" s="9" t="s">
        <v>1007</v>
      </c>
      <c r="D179" s="8">
        <v>40996</v>
      </c>
      <c r="E179" s="10" t="str">
        <f t="shared" si="4"/>
        <v>4級</v>
      </c>
      <c r="F179" s="10" t="str">
        <f t="shared" si="5"/>
        <v>採用候補</v>
      </c>
      <c r="G179" s="13" t="s">
        <v>1008</v>
      </c>
      <c r="H179" s="14">
        <v>2067944</v>
      </c>
    </row>
    <row r="180" spans="1:8" ht="30" customHeight="1">
      <c r="A180" s="7">
        <v>174</v>
      </c>
      <c r="B180" s="9" t="s">
        <v>1009</v>
      </c>
      <c r="C180" s="9" t="s">
        <v>693</v>
      </c>
      <c r="D180" s="8">
        <v>44666</v>
      </c>
      <c r="E180" s="10" t="str">
        <f t="shared" si="4"/>
        <v>4級</v>
      </c>
      <c r="F180" s="10" t="str">
        <f t="shared" si="5"/>
        <v>採用候補</v>
      </c>
      <c r="G180" s="13" t="s">
        <v>1010</v>
      </c>
      <c r="H180" s="14">
        <v>2067248</v>
      </c>
    </row>
    <row r="181" spans="1:8" ht="30" customHeight="1">
      <c r="A181" s="7">
        <v>175</v>
      </c>
      <c r="B181" s="9" t="s">
        <v>1011</v>
      </c>
      <c r="C181" s="9" t="s">
        <v>679</v>
      </c>
      <c r="D181" s="8">
        <v>42515</v>
      </c>
      <c r="E181" s="10" t="str">
        <f t="shared" si="4"/>
        <v>4級</v>
      </c>
      <c r="F181" s="10" t="str">
        <f t="shared" si="5"/>
        <v>採用候補</v>
      </c>
      <c r="G181" s="13" t="s">
        <v>1012</v>
      </c>
      <c r="H181" s="14">
        <v>2057563</v>
      </c>
    </row>
    <row r="182" spans="1:8" ht="30" customHeight="1">
      <c r="A182" s="7">
        <v>176</v>
      </c>
      <c r="B182" s="9" t="s">
        <v>95</v>
      </c>
      <c r="C182" s="9" t="s">
        <v>29</v>
      </c>
      <c r="D182" s="8">
        <v>38981</v>
      </c>
      <c r="E182" s="10" t="str">
        <f t="shared" si="4"/>
        <v>4級</v>
      </c>
      <c r="F182" s="10" t="str">
        <f t="shared" si="5"/>
        <v>除外</v>
      </c>
      <c r="G182" s="13" t="s">
        <v>1013</v>
      </c>
      <c r="H182" s="14">
        <v>2055356</v>
      </c>
    </row>
    <row r="183" spans="1:8" ht="30" customHeight="1">
      <c r="A183" s="7">
        <v>177</v>
      </c>
      <c r="B183" s="9" t="s">
        <v>1014</v>
      </c>
      <c r="C183" s="9" t="s">
        <v>322</v>
      </c>
      <c r="D183" s="8">
        <v>40793</v>
      </c>
      <c r="E183" s="10" t="str">
        <f t="shared" si="4"/>
        <v>4級</v>
      </c>
      <c r="F183" s="10" t="str">
        <f t="shared" si="5"/>
        <v>採用候補</v>
      </c>
      <c r="G183" s="13" t="s">
        <v>1015</v>
      </c>
      <c r="H183" s="14">
        <v>2054486</v>
      </c>
    </row>
    <row r="184" spans="1:8" ht="30" customHeight="1">
      <c r="A184" s="7">
        <v>178</v>
      </c>
      <c r="B184" s="9" t="s">
        <v>1016</v>
      </c>
      <c r="C184" s="9" t="s">
        <v>155</v>
      </c>
      <c r="D184" s="8">
        <v>41115</v>
      </c>
      <c r="E184" s="10" t="str">
        <f t="shared" si="4"/>
        <v>4級</v>
      </c>
      <c r="F184" s="10" t="str">
        <f t="shared" si="5"/>
        <v>採用候補</v>
      </c>
      <c r="G184" s="13" t="s">
        <v>1017</v>
      </c>
      <c r="H184" s="14">
        <v>2047015</v>
      </c>
    </row>
    <row r="185" spans="1:8" ht="30" customHeight="1">
      <c r="A185" s="7">
        <v>179</v>
      </c>
      <c r="B185" s="9" t="s">
        <v>1018</v>
      </c>
      <c r="C185" s="9" t="s">
        <v>679</v>
      </c>
      <c r="D185" s="8">
        <v>42228</v>
      </c>
      <c r="E185" s="10" t="str">
        <f t="shared" si="4"/>
        <v>4級</v>
      </c>
      <c r="F185" s="10" t="str">
        <f t="shared" si="5"/>
        <v>採用候補</v>
      </c>
      <c r="G185" s="13" t="s">
        <v>1019</v>
      </c>
      <c r="H185" s="14">
        <v>2031852</v>
      </c>
    </row>
    <row r="186" spans="1:8" ht="30" customHeight="1">
      <c r="A186" s="7">
        <v>180</v>
      </c>
      <c r="B186" s="9" t="s">
        <v>1020</v>
      </c>
      <c r="C186" s="9" t="s">
        <v>1021</v>
      </c>
      <c r="D186" s="8">
        <v>43962</v>
      </c>
      <c r="E186" s="10" t="str">
        <f t="shared" si="4"/>
        <v>4級</v>
      </c>
      <c r="F186" s="10" t="str">
        <f t="shared" si="5"/>
        <v>採用候補</v>
      </c>
      <c r="G186" s="13" t="s">
        <v>1022</v>
      </c>
      <c r="H186" s="14">
        <v>2027729</v>
      </c>
    </row>
    <row r="187" spans="1:8" ht="30" customHeight="1">
      <c r="A187" s="7">
        <v>181</v>
      </c>
      <c r="B187" s="9" t="s">
        <v>96</v>
      </c>
      <c r="C187" s="9" t="s">
        <v>29</v>
      </c>
      <c r="D187" s="8">
        <v>33508</v>
      </c>
      <c r="E187" s="10" t="str">
        <f t="shared" si="4"/>
        <v>4級</v>
      </c>
      <c r="F187" s="10" t="str">
        <f t="shared" si="5"/>
        <v>除外</v>
      </c>
      <c r="G187" s="13" t="s">
        <v>1023</v>
      </c>
      <c r="H187" s="14">
        <v>2012388</v>
      </c>
    </row>
    <row r="188" spans="1:8" ht="30" customHeight="1">
      <c r="A188" s="7">
        <v>182</v>
      </c>
      <c r="B188" s="9" t="s">
        <v>1024</v>
      </c>
      <c r="C188" s="9" t="s">
        <v>1025</v>
      </c>
      <c r="D188" s="8">
        <v>43229</v>
      </c>
      <c r="E188" s="10" t="str">
        <f t="shared" si="4"/>
        <v>4級</v>
      </c>
      <c r="F188" s="10" t="str">
        <f t="shared" si="5"/>
        <v>採用候補</v>
      </c>
      <c r="G188" s="13" t="s">
        <v>1026</v>
      </c>
      <c r="H188" s="14">
        <v>2009966</v>
      </c>
    </row>
    <row r="189" spans="1:8" ht="30" customHeight="1">
      <c r="A189" s="7">
        <v>183</v>
      </c>
      <c r="B189" s="9" t="s">
        <v>97</v>
      </c>
      <c r="C189" s="9" t="s">
        <v>98</v>
      </c>
      <c r="D189" s="8">
        <v>38028</v>
      </c>
      <c r="E189" s="10" t="str">
        <f t="shared" si="4"/>
        <v>4級</v>
      </c>
      <c r="F189" s="10" t="str">
        <f t="shared" si="5"/>
        <v>除外</v>
      </c>
      <c r="G189" s="13" t="s">
        <v>1027</v>
      </c>
      <c r="H189" s="14">
        <v>2009548</v>
      </c>
    </row>
    <row r="190" spans="1:8" ht="30" customHeight="1">
      <c r="A190" s="7">
        <v>184</v>
      </c>
      <c r="B190" s="9" t="s">
        <v>1028</v>
      </c>
      <c r="C190" s="9" t="s">
        <v>1029</v>
      </c>
      <c r="D190" s="8">
        <v>41762</v>
      </c>
      <c r="E190" s="10" t="str">
        <f t="shared" si="4"/>
        <v>4級</v>
      </c>
      <c r="F190" s="10" t="str">
        <f t="shared" si="5"/>
        <v>採用候補</v>
      </c>
      <c r="G190" s="13" t="s">
        <v>1030</v>
      </c>
      <c r="H190" s="14">
        <v>2000933</v>
      </c>
    </row>
    <row r="191" spans="1:8" ht="30" customHeight="1">
      <c r="A191" s="7">
        <v>185</v>
      </c>
      <c r="B191" s="9" t="s">
        <v>1031</v>
      </c>
      <c r="C191" s="9" t="s">
        <v>708</v>
      </c>
      <c r="D191" s="8">
        <v>44202</v>
      </c>
      <c r="E191" s="10" t="str">
        <f t="shared" si="4"/>
        <v>4級</v>
      </c>
      <c r="F191" s="10" t="str">
        <f t="shared" si="5"/>
        <v>採用候補</v>
      </c>
      <c r="G191" s="13" t="s">
        <v>1032</v>
      </c>
      <c r="H191" s="14">
        <v>1997853</v>
      </c>
    </row>
    <row r="192" spans="1:8" ht="30" customHeight="1">
      <c r="A192" s="7">
        <v>186</v>
      </c>
      <c r="B192" s="9" t="s">
        <v>99</v>
      </c>
      <c r="C192" s="9" t="s">
        <v>100</v>
      </c>
      <c r="D192" s="8">
        <v>38280</v>
      </c>
      <c r="E192" s="10" t="str">
        <f t="shared" si="4"/>
        <v>4級</v>
      </c>
      <c r="F192" s="10" t="str">
        <f t="shared" si="5"/>
        <v>除外</v>
      </c>
      <c r="G192" s="13" t="s">
        <v>1033</v>
      </c>
      <c r="H192" s="14">
        <v>1994203</v>
      </c>
    </row>
    <row r="193" spans="1:8" ht="42" customHeight="1">
      <c r="A193" s="7">
        <v>187</v>
      </c>
      <c r="B193" s="9" t="s">
        <v>1034</v>
      </c>
      <c r="C193" s="9" t="s">
        <v>806</v>
      </c>
      <c r="D193" s="8">
        <v>41815</v>
      </c>
      <c r="E193" s="10" t="str">
        <f t="shared" si="4"/>
        <v>4級</v>
      </c>
      <c r="F193" s="10" t="str">
        <f t="shared" si="5"/>
        <v>採用候補</v>
      </c>
      <c r="G193" s="13" t="s">
        <v>1035</v>
      </c>
      <c r="H193" s="14">
        <v>1988708</v>
      </c>
    </row>
    <row r="194" spans="1:8" ht="30" customHeight="1">
      <c r="A194" s="7">
        <v>188</v>
      </c>
      <c r="B194" s="9" t="s">
        <v>1036</v>
      </c>
      <c r="C194" s="9" t="s">
        <v>155</v>
      </c>
      <c r="D194" s="8">
        <v>41927</v>
      </c>
      <c r="E194" s="10" t="str">
        <f t="shared" si="4"/>
        <v>4級</v>
      </c>
      <c r="F194" s="10" t="str">
        <f t="shared" si="5"/>
        <v>採用候補</v>
      </c>
      <c r="G194" s="13" t="s">
        <v>1037</v>
      </c>
      <c r="H194" s="14">
        <v>1984508</v>
      </c>
    </row>
    <row r="195" spans="1:8" ht="30" customHeight="1">
      <c r="A195" s="7">
        <v>189</v>
      </c>
      <c r="B195" s="9" t="s">
        <v>1038</v>
      </c>
      <c r="C195" s="9" t="s">
        <v>1039</v>
      </c>
      <c r="D195" s="8">
        <v>45840</v>
      </c>
      <c r="E195" s="10" t="str">
        <f t="shared" si="4"/>
        <v>4級</v>
      </c>
      <c r="F195" s="10" t="str">
        <f t="shared" si="5"/>
        <v>採用候補</v>
      </c>
      <c r="G195" s="13" t="s">
        <v>1040</v>
      </c>
      <c r="H195" s="14">
        <v>1977220</v>
      </c>
    </row>
    <row r="196" spans="1:8" ht="42" customHeight="1">
      <c r="A196" s="7">
        <v>190</v>
      </c>
      <c r="B196" s="9" t="s">
        <v>101</v>
      </c>
      <c r="C196" s="9" t="s">
        <v>67</v>
      </c>
      <c r="D196" s="8">
        <v>38035</v>
      </c>
      <c r="E196" s="10" t="str">
        <f t="shared" si="4"/>
        <v>4級</v>
      </c>
      <c r="F196" s="10" t="str">
        <f t="shared" si="5"/>
        <v>除外</v>
      </c>
      <c r="G196" s="13" t="s">
        <v>1041</v>
      </c>
      <c r="H196" s="14">
        <v>1973578</v>
      </c>
    </row>
    <row r="197" spans="1:8" ht="42" customHeight="1">
      <c r="A197" s="7">
        <v>191</v>
      </c>
      <c r="B197" s="9" t="s">
        <v>1042</v>
      </c>
      <c r="C197" s="9" t="s">
        <v>787</v>
      </c>
      <c r="D197" s="8">
        <v>45041</v>
      </c>
      <c r="E197" s="10" t="str">
        <f t="shared" si="4"/>
        <v>4級</v>
      </c>
      <c r="F197" s="10" t="str">
        <f t="shared" si="5"/>
        <v>採用候補</v>
      </c>
      <c r="G197" s="13" t="s">
        <v>1043</v>
      </c>
      <c r="H197" s="14">
        <v>1971693</v>
      </c>
    </row>
    <row r="198" spans="1:8" ht="30" customHeight="1">
      <c r="A198" s="7">
        <v>192</v>
      </c>
      <c r="B198" s="9" t="s">
        <v>102</v>
      </c>
      <c r="C198" s="9" t="s">
        <v>25</v>
      </c>
      <c r="D198" s="8">
        <v>34794</v>
      </c>
      <c r="E198" s="10" t="str">
        <f t="shared" si="4"/>
        <v>4級</v>
      </c>
      <c r="F198" s="10" t="str">
        <f t="shared" si="5"/>
        <v>除外</v>
      </c>
      <c r="G198" s="13" t="s">
        <v>1044</v>
      </c>
      <c r="H198" s="14">
        <v>1965418</v>
      </c>
    </row>
    <row r="199" spans="1:8" ht="30" customHeight="1">
      <c r="A199" s="7">
        <v>193</v>
      </c>
      <c r="B199" s="9" t="s">
        <v>1045</v>
      </c>
      <c r="C199" s="9" t="s">
        <v>682</v>
      </c>
      <c r="D199" s="8">
        <v>43040</v>
      </c>
      <c r="E199" s="10" t="str">
        <f t="shared" ref="E199:E262" si="6">CHOOSE(INT((A199-1)/100)+1,"5級","4級","3級","2級","1級","初段","二段","三段","四段","五段")</f>
        <v>4級</v>
      </c>
      <c r="F199" s="10" t="str">
        <f t="shared" ref="F199:F262" si="7">IF(D199&gt;=DATE(2010,1,1),"採用候補","除外")</f>
        <v>採用候補</v>
      </c>
      <c r="G199" s="13" t="s">
        <v>1046</v>
      </c>
      <c r="H199" s="14">
        <v>1963801</v>
      </c>
    </row>
    <row r="200" spans="1:8" ht="30" customHeight="1">
      <c r="A200" s="7">
        <v>194</v>
      </c>
      <c r="B200" s="9" t="s">
        <v>103</v>
      </c>
      <c r="C200" s="9" t="s">
        <v>104</v>
      </c>
      <c r="D200" s="8">
        <v>34479</v>
      </c>
      <c r="E200" s="10" t="str">
        <f t="shared" si="6"/>
        <v>4級</v>
      </c>
      <c r="F200" s="10" t="str">
        <f t="shared" si="7"/>
        <v>除外</v>
      </c>
      <c r="G200" s="13" t="s">
        <v>1047</v>
      </c>
      <c r="H200" s="14">
        <v>1962441</v>
      </c>
    </row>
    <row r="201" spans="1:8" ht="30" customHeight="1">
      <c r="A201" s="7">
        <v>195</v>
      </c>
      <c r="B201" s="9" t="s">
        <v>1048</v>
      </c>
      <c r="C201" s="9" t="s">
        <v>679</v>
      </c>
      <c r="D201" s="8">
        <v>40821</v>
      </c>
      <c r="E201" s="10" t="str">
        <f t="shared" si="6"/>
        <v>4級</v>
      </c>
      <c r="F201" s="10" t="str">
        <f t="shared" si="7"/>
        <v>採用候補</v>
      </c>
      <c r="G201" s="13" t="s">
        <v>1049</v>
      </c>
      <c r="H201" s="14">
        <v>1955546</v>
      </c>
    </row>
    <row r="202" spans="1:8" ht="42" customHeight="1">
      <c r="A202" s="7">
        <v>196</v>
      </c>
      <c r="B202" s="9" t="s">
        <v>816</v>
      </c>
      <c r="C202" s="9" t="s">
        <v>310</v>
      </c>
      <c r="D202" s="8">
        <v>41332</v>
      </c>
      <c r="E202" s="10" t="str">
        <f t="shared" si="6"/>
        <v>4級</v>
      </c>
      <c r="F202" s="10" t="str">
        <f t="shared" si="7"/>
        <v>採用候補</v>
      </c>
      <c r="G202" s="13" t="s">
        <v>1050</v>
      </c>
      <c r="H202" s="14">
        <v>1955527</v>
      </c>
    </row>
    <row r="203" spans="1:8" ht="30" customHeight="1">
      <c r="A203" s="7">
        <v>197</v>
      </c>
      <c r="B203" s="9" t="s">
        <v>1051</v>
      </c>
      <c r="C203" s="9" t="s">
        <v>1052</v>
      </c>
      <c r="D203" s="8">
        <v>43411</v>
      </c>
      <c r="E203" s="10" t="str">
        <f t="shared" si="6"/>
        <v>4級</v>
      </c>
      <c r="F203" s="10" t="str">
        <f t="shared" si="7"/>
        <v>採用候補</v>
      </c>
      <c r="G203" s="13" t="s">
        <v>1053</v>
      </c>
      <c r="H203" s="14">
        <v>1950810</v>
      </c>
    </row>
    <row r="204" spans="1:8" ht="30" customHeight="1">
      <c r="A204" s="7">
        <v>198</v>
      </c>
      <c r="B204" s="9" t="s">
        <v>105</v>
      </c>
      <c r="C204" s="9" t="s">
        <v>106</v>
      </c>
      <c r="D204" s="8">
        <v>36973</v>
      </c>
      <c r="E204" s="10" t="str">
        <f t="shared" si="6"/>
        <v>4級</v>
      </c>
      <c r="F204" s="10" t="str">
        <f t="shared" si="7"/>
        <v>除外</v>
      </c>
      <c r="G204" s="13" t="s">
        <v>1054</v>
      </c>
      <c r="H204" s="14">
        <v>1945162</v>
      </c>
    </row>
    <row r="205" spans="1:8" ht="30" customHeight="1">
      <c r="A205" s="7">
        <v>199</v>
      </c>
      <c r="B205" s="9" t="s">
        <v>1055</v>
      </c>
      <c r="C205" s="9" t="s">
        <v>714</v>
      </c>
      <c r="D205" s="8">
        <v>45175</v>
      </c>
      <c r="E205" s="10" t="str">
        <f t="shared" si="6"/>
        <v>4級</v>
      </c>
      <c r="F205" s="10" t="str">
        <f t="shared" si="7"/>
        <v>採用候補</v>
      </c>
      <c r="G205" s="13" t="s">
        <v>1056</v>
      </c>
      <c r="H205" s="14">
        <v>1943573</v>
      </c>
    </row>
    <row r="206" spans="1:8" ht="30" customHeight="1">
      <c r="A206" s="7">
        <v>200</v>
      </c>
      <c r="B206" s="9" t="s">
        <v>107</v>
      </c>
      <c r="C206" s="9" t="s">
        <v>108</v>
      </c>
      <c r="D206" s="8">
        <v>39274</v>
      </c>
      <c r="E206" s="10" t="str">
        <f t="shared" si="6"/>
        <v>4級</v>
      </c>
      <c r="F206" s="10" t="str">
        <f t="shared" si="7"/>
        <v>除外</v>
      </c>
      <c r="G206" s="13" t="s">
        <v>1057</v>
      </c>
      <c r="H206" s="14">
        <v>1938580</v>
      </c>
    </row>
    <row r="207" spans="1:8" ht="30" customHeight="1">
      <c r="A207" s="7">
        <v>201</v>
      </c>
      <c r="B207" s="9" t="s">
        <v>1058</v>
      </c>
      <c r="C207" s="9" t="s">
        <v>765</v>
      </c>
      <c r="D207" s="8">
        <v>43152</v>
      </c>
      <c r="E207" s="10" t="str">
        <f t="shared" si="6"/>
        <v>3級</v>
      </c>
      <c r="F207" s="10" t="str">
        <f t="shared" si="7"/>
        <v>採用候補</v>
      </c>
      <c r="G207" s="13" t="s">
        <v>1059</v>
      </c>
      <c r="H207" s="14">
        <v>1938127</v>
      </c>
    </row>
    <row r="208" spans="1:8" ht="30" customHeight="1">
      <c r="A208" s="7">
        <v>202</v>
      </c>
      <c r="B208" s="9" t="s">
        <v>109</v>
      </c>
      <c r="C208" s="9" t="s">
        <v>110</v>
      </c>
      <c r="D208" s="8">
        <v>38784</v>
      </c>
      <c r="E208" s="10" t="str">
        <f t="shared" si="6"/>
        <v>3級</v>
      </c>
      <c r="F208" s="10" t="str">
        <f t="shared" si="7"/>
        <v>除外</v>
      </c>
      <c r="G208" s="13" t="s">
        <v>1060</v>
      </c>
      <c r="H208" s="14">
        <v>1933751</v>
      </c>
    </row>
    <row r="209" spans="1:8" ht="30" customHeight="1">
      <c r="A209" s="7">
        <v>203</v>
      </c>
      <c r="B209" s="9" t="s">
        <v>1061</v>
      </c>
      <c r="C209" s="9" t="s">
        <v>775</v>
      </c>
      <c r="D209" s="8">
        <v>40940</v>
      </c>
      <c r="E209" s="10" t="str">
        <f t="shared" si="6"/>
        <v>3級</v>
      </c>
      <c r="F209" s="10" t="str">
        <f t="shared" si="7"/>
        <v>採用候補</v>
      </c>
      <c r="G209" s="13" t="s">
        <v>1062</v>
      </c>
      <c r="H209" s="14">
        <v>1932168</v>
      </c>
    </row>
    <row r="210" spans="1:8" ht="30" customHeight="1">
      <c r="A210" s="7">
        <v>204</v>
      </c>
      <c r="B210" s="9" t="s">
        <v>1063</v>
      </c>
      <c r="C210" s="9" t="s">
        <v>795</v>
      </c>
      <c r="D210" s="8">
        <v>42599</v>
      </c>
      <c r="E210" s="10" t="str">
        <f t="shared" si="6"/>
        <v>3級</v>
      </c>
      <c r="F210" s="10" t="str">
        <f t="shared" si="7"/>
        <v>採用候補</v>
      </c>
      <c r="G210" s="13" t="s">
        <v>1064</v>
      </c>
      <c r="H210" s="14">
        <v>1929945</v>
      </c>
    </row>
    <row r="211" spans="1:8" ht="30" customHeight="1">
      <c r="A211" s="7">
        <v>205</v>
      </c>
      <c r="B211" s="9" t="s">
        <v>111</v>
      </c>
      <c r="C211" s="9" t="s">
        <v>110</v>
      </c>
      <c r="D211" s="8">
        <v>39239</v>
      </c>
      <c r="E211" s="10" t="str">
        <f t="shared" si="6"/>
        <v>3級</v>
      </c>
      <c r="F211" s="10" t="str">
        <f t="shared" si="7"/>
        <v>除外</v>
      </c>
      <c r="G211" s="13" t="s">
        <v>1065</v>
      </c>
      <c r="H211" s="14">
        <v>1926028</v>
      </c>
    </row>
    <row r="212" spans="1:8" ht="30" customHeight="1">
      <c r="A212" s="7">
        <v>206</v>
      </c>
      <c r="B212" s="9" t="s">
        <v>112</v>
      </c>
      <c r="C212" s="9" t="s">
        <v>29</v>
      </c>
      <c r="D212" s="8">
        <v>38833</v>
      </c>
      <c r="E212" s="10" t="str">
        <f t="shared" si="6"/>
        <v>3級</v>
      </c>
      <c r="F212" s="10" t="str">
        <f t="shared" si="7"/>
        <v>除外</v>
      </c>
      <c r="G212" s="13" t="s">
        <v>1066</v>
      </c>
      <c r="H212" s="14">
        <v>1923862</v>
      </c>
    </row>
    <row r="213" spans="1:8" ht="30" customHeight="1">
      <c r="A213" s="7">
        <v>207</v>
      </c>
      <c r="B213" s="9" t="s">
        <v>113</v>
      </c>
      <c r="C213" s="9" t="s">
        <v>29</v>
      </c>
      <c r="D213" s="8">
        <v>39302</v>
      </c>
      <c r="E213" s="10" t="str">
        <f t="shared" si="6"/>
        <v>3級</v>
      </c>
      <c r="F213" s="10" t="str">
        <f t="shared" si="7"/>
        <v>除外</v>
      </c>
      <c r="G213" s="13" t="s">
        <v>1067</v>
      </c>
      <c r="H213" s="14">
        <v>1913237</v>
      </c>
    </row>
    <row r="214" spans="1:8" ht="30" customHeight="1">
      <c r="A214" s="7">
        <v>208</v>
      </c>
      <c r="B214" s="9" t="s">
        <v>114</v>
      </c>
      <c r="C214" s="9" t="s">
        <v>115</v>
      </c>
      <c r="D214" s="8">
        <v>33161</v>
      </c>
      <c r="E214" s="10" t="str">
        <f t="shared" si="6"/>
        <v>3級</v>
      </c>
      <c r="F214" s="10" t="str">
        <f t="shared" si="7"/>
        <v>除外</v>
      </c>
      <c r="G214" s="13" t="s">
        <v>1068</v>
      </c>
      <c r="H214" s="14">
        <v>1909755</v>
      </c>
    </row>
    <row r="215" spans="1:8" ht="42" customHeight="1">
      <c r="A215" s="7">
        <v>209</v>
      </c>
      <c r="B215" s="9" t="s">
        <v>1069</v>
      </c>
      <c r="C215" s="9" t="s">
        <v>787</v>
      </c>
      <c r="D215" s="8">
        <v>42193</v>
      </c>
      <c r="E215" s="10" t="str">
        <f t="shared" si="6"/>
        <v>3級</v>
      </c>
      <c r="F215" s="10" t="str">
        <f t="shared" si="7"/>
        <v>採用候補</v>
      </c>
      <c r="G215" s="13" t="s">
        <v>1070</v>
      </c>
      <c r="H215" s="14">
        <v>1900856</v>
      </c>
    </row>
    <row r="216" spans="1:8" ht="30" customHeight="1">
      <c r="A216" s="7">
        <v>210</v>
      </c>
      <c r="B216" s="9" t="s">
        <v>116</v>
      </c>
      <c r="C216" s="9" t="s">
        <v>117</v>
      </c>
      <c r="D216" s="8">
        <v>35543</v>
      </c>
      <c r="E216" s="10" t="str">
        <f t="shared" si="6"/>
        <v>3級</v>
      </c>
      <c r="F216" s="10" t="str">
        <f t="shared" si="7"/>
        <v>除外</v>
      </c>
      <c r="G216" s="13" t="s">
        <v>1071</v>
      </c>
      <c r="H216" s="14">
        <v>1898094</v>
      </c>
    </row>
    <row r="217" spans="1:8" ht="30" customHeight="1">
      <c r="A217" s="7">
        <v>211</v>
      </c>
      <c r="B217" s="9" t="s">
        <v>118</v>
      </c>
      <c r="C217" s="9" t="s">
        <v>119</v>
      </c>
      <c r="D217" s="8">
        <v>38159</v>
      </c>
      <c r="E217" s="10" t="str">
        <f t="shared" si="6"/>
        <v>3級</v>
      </c>
      <c r="F217" s="10" t="str">
        <f t="shared" si="7"/>
        <v>除外</v>
      </c>
      <c r="G217" s="13" t="s">
        <v>1072</v>
      </c>
      <c r="H217" s="14">
        <v>1897550</v>
      </c>
    </row>
    <row r="218" spans="1:8" ht="30" customHeight="1">
      <c r="A218" s="7">
        <v>212</v>
      </c>
      <c r="B218" s="9" t="s">
        <v>1073</v>
      </c>
      <c r="C218" s="9" t="s">
        <v>755</v>
      </c>
      <c r="D218" s="8">
        <v>44783</v>
      </c>
      <c r="E218" s="10" t="str">
        <f t="shared" si="6"/>
        <v>3級</v>
      </c>
      <c r="F218" s="10" t="str">
        <f t="shared" si="7"/>
        <v>採用候補</v>
      </c>
      <c r="G218" s="13" t="s">
        <v>1074</v>
      </c>
      <c r="H218" s="14">
        <v>1895575</v>
      </c>
    </row>
    <row r="219" spans="1:8" ht="30" customHeight="1">
      <c r="A219" s="7">
        <v>213</v>
      </c>
      <c r="B219" s="9" t="s">
        <v>1075</v>
      </c>
      <c r="C219" s="9" t="s">
        <v>1076</v>
      </c>
      <c r="D219" s="8">
        <v>41612</v>
      </c>
      <c r="E219" s="10" t="str">
        <f t="shared" si="6"/>
        <v>3級</v>
      </c>
      <c r="F219" s="10" t="str">
        <f t="shared" si="7"/>
        <v>採用候補</v>
      </c>
      <c r="G219" s="13" t="s">
        <v>1077</v>
      </c>
      <c r="H219" s="14">
        <v>1887370</v>
      </c>
    </row>
    <row r="220" spans="1:8" ht="30" customHeight="1">
      <c r="A220" s="7">
        <v>214</v>
      </c>
      <c r="B220" s="9" t="s">
        <v>120</v>
      </c>
      <c r="C220" s="9" t="s">
        <v>29</v>
      </c>
      <c r="D220" s="8">
        <v>38987</v>
      </c>
      <c r="E220" s="10" t="str">
        <f t="shared" si="6"/>
        <v>3級</v>
      </c>
      <c r="F220" s="10" t="str">
        <f t="shared" si="7"/>
        <v>除外</v>
      </c>
      <c r="G220" s="13" t="s">
        <v>1078</v>
      </c>
      <c r="H220" s="14">
        <v>1885788</v>
      </c>
    </row>
    <row r="221" spans="1:8" ht="30" customHeight="1">
      <c r="A221" s="7">
        <v>215</v>
      </c>
      <c r="B221" s="9" t="s">
        <v>1079</v>
      </c>
      <c r="C221" s="9" t="s">
        <v>58</v>
      </c>
      <c r="D221" s="8">
        <v>42494</v>
      </c>
      <c r="E221" s="10" t="str">
        <f t="shared" si="6"/>
        <v>3級</v>
      </c>
      <c r="F221" s="10" t="str">
        <f t="shared" si="7"/>
        <v>採用候補</v>
      </c>
      <c r="G221" s="13" t="s">
        <v>1080</v>
      </c>
      <c r="H221" s="14">
        <v>1885731</v>
      </c>
    </row>
    <row r="222" spans="1:8" ht="30" customHeight="1">
      <c r="A222" s="7">
        <v>216</v>
      </c>
      <c r="B222" s="9" t="s">
        <v>1081</v>
      </c>
      <c r="C222" s="9" t="s">
        <v>155</v>
      </c>
      <c r="D222" s="8">
        <v>41052</v>
      </c>
      <c r="E222" s="10" t="str">
        <f t="shared" si="6"/>
        <v>3級</v>
      </c>
      <c r="F222" s="10" t="str">
        <f t="shared" si="7"/>
        <v>採用候補</v>
      </c>
      <c r="G222" s="13" t="s">
        <v>1082</v>
      </c>
      <c r="H222" s="14">
        <v>1885469</v>
      </c>
    </row>
    <row r="223" spans="1:8" ht="30" customHeight="1">
      <c r="A223" s="7">
        <v>217</v>
      </c>
      <c r="B223" s="9" t="s">
        <v>121</v>
      </c>
      <c r="C223" s="9" t="s">
        <v>122</v>
      </c>
      <c r="D223" s="8">
        <v>34675</v>
      </c>
      <c r="E223" s="10" t="str">
        <f t="shared" si="6"/>
        <v>3級</v>
      </c>
      <c r="F223" s="10" t="str">
        <f t="shared" si="7"/>
        <v>除外</v>
      </c>
      <c r="G223" s="13" t="s">
        <v>1083</v>
      </c>
      <c r="H223" s="14">
        <v>1882083</v>
      </c>
    </row>
    <row r="224" spans="1:8" ht="30" customHeight="1">
      <c r="A224" s="7">
        <v>218</v>
      </c>
      <c r="B224" s="9" t="s">
        <v>123</v>
      </c>
      <c r="C224" s="9" t="s">
        <v>124</v>
      </c>
      <c r="D224" s="8">
        <v>40030</v>
      </c>
      <c r="E224" s="10" t="str">
        <f t="shared" si="6"/>
        <v>3級</v>
      </c>
      <c r="F224" s="10" t="str">
        <f t="shared" si="7"/>
        <v>除外</v>
      </c>
      <c r="G224" s="13" t="s">
        <v>1084</v>
      </c>
      <c r="H224" s="14">
        <v>1880887</v>
      </c>
    </row>
    <row r="225" spans="1:8" ht="30" customHeight="1">
      <c r="A225" s="7">
        <v>219</v>
      </c>
      <c r="B225" s="9" t="s">
        <v>125</v>
      </c>
      <c r="C225" s="9" t="s">
        <v>126</v>
      </c>
      <c r="D225" s="8">
        <v>38282</v>
      </c>
      <c r="E225" s="10" t="str">
        <f t="shared" si="6"/>
        <v>3級</v>
      </c>
      <c r="F225" s="10" t="str">
        <f t="shared" si="7"/>
        <v>除外</v>
      </c>
      <c r="G225" s="13" t="s">
        <v>1085</v>
      </c>
      <c r="H225" s="14">
        <v>1880308</v>
      </c>
    </row>
    <row r="226" spans="1:8" ht="30" customHeight="1">
      <c r="A226" s="7">
        <v>220</v>
      </c>
      <c r="B226" s="9" t="s">
        <v>127</v>
      </c>
      <c r="C226" s="9" t="s">
        <v>128</v>
      </c>
      <c r="D226" s="8">
        <v>34628</v>
      </c>
      <c r="E226" s="10" t="str">
        <f t="shared" si="6"/>
        <v>3級</v>
      </c>
      <c r="F226" s="10" t="str">
        <f t="shared" si="7"/>
        <v>除外</v>
      </c>
      <c r="G226" s="13" t="s">
        <v>1086</v>
      </c>
      <c r="H226" s="14">
        <v>1879745</v>
      </c>
    </row>
    <row r="227" spans="1:8" ht="30" customHeight="1">
      <c r="A227" s="7">
        <v>221</v>
      </c>
      <c r="B227" s="9" t="s">
        <v>129</v>
      </c>
      <c r="C227" s="9" t="s">
        <v>23</v>
      </c>
      <c r="D227" s="8">
        <v>38672</v>
      </c>
      <c r="E227" s="10" t="str">
        <f t="shared" si="6"/>
        <v>3級</v>
      </c>
      <c r="F227" s="10" t="str">
        <f t="shared" si="7"/>
        <v>除外</v>
      </c>
      <c r="G227" s="13" t="s">
        <v>1087</v>
      </c>
      <c r="H227" s="14">
        <v>1879128</v>
      </c>
    </row>
    <row r="228" spans="1:8" ht="30" customHeight="1">
      <c r="A228" s="7">
        <v>222</v>
      </c>
      <c r="B228" s="9" t="s">
        <v>1088</v>
      </c>
      <c r="C228" s="9" t="s">
        <v>1089</v>
      </c>
      <c r="D228" s="8">
        <v>41472</v>
      </c>
      <c r="E228" s="10" t="str">
        <f t="shared" si="6"/>
        <v>3級</v>
      </c>
      <c r="F228" s="10" t="str">
        <f t="shared" si="7"/>
        <v>採用候補</v>
      </c>
      <c r="G228" s="13" t="s">
        <v>1090</v>
      </c>
      <c r="H228" s="14">
        <v>1878612</v>
      </c>
    </row>
    <row r="229" spans="1:8" ht="30" customHeight="1">
      <c r="A229" s="7">
        <v>223</v>
      </c>
      <c r="B229" s="9" t="s">
        <v>130</v>
      </c>
      <c r="C229" s="9" t="s">
        <v>122</v>
      </c>
      <c r="D229" s="8">
        <v>34675</v>
      </c>
      <c r="E229" s="10" t="str">
        <f t="shared" si="6"/>
        <v>3級</v>
      </c>
      <c r="F229" s="10" t="str">
        <f t="shared" si="7"/>
        <v>除外</v>
      </c>
      <c r="G229" s="13" t="s">
        <v>1091</v>
      </c>
      <c r="H229" s="14">
        <v>1871382</v>
      </c>
    </row>
    <row r="230" spans="1:8" ht="30" customHeight="1">
      <c r="A230" s="7">
        <v>224</v>
      </c>
      <c r="B230" s="9" t="s">
        <v>107</v>
      </c>
      <c r="C230" s="9" t="s">
        <v>131</v>
      </c>
      <c r="D230" s="8">
        <v>39576</v>
      </c>
      <c r="E230" s="10" t="str">
        <f t="shared" si="6"/>
        <v>3級</v>
      </c>
      <c r="F230" s="10" t="str">
        <f t="shared" si="7"/>
        <v>除外</v>
      </c>
      <c r="G230" s="13" t="s">
        <v>1092</v>
      </c>
      <c r="H230" s="14">
        <v>1866912</v>
      </c>
    </row>
    <row r="231" spans="1:8" ht="30" customHeight="1">
      <c r="A231" s="7">
        <v>225</v>
      </c>
      <c r="B231" s="9" t="s">
        <v>1093</v>
      </c>
      <c r="C231" s="9" t="s">
        <v>83</v>
      </c>
      <c r="D231" s="8">
        <v>42641</v>
      </c>
      <c r="E231" s="10" t="str">
        <f t="shared" si="6"/>
        <v>3級</v>
      </c>
      <c r="F231" s="10" t="str">
        <f t="shared" si="7"/>
        <v>採用候補</v>
      </c>
      <c r="G231" s="13" t="s">
        <v>1094</v>
      </c>
      <c r="H231" s="14">
        <v>1847856</v>
      </c>
    </row>
    <row r="232" spans="1:8" ht="30" customHeight="1">
      <c r="A232" s="7">
        <v>226</v>
      </c>
      <c r="B232" s="9" t="s">
        <v>132</v>
      </c>
      <c r="C232" s="9" t="s">
        <v>25</v>
      </c>
      <c r="D232" s="8">
        <v>34449</v>
      </c>
      <c r="E232" s="10" t="str">
        <f t="shared" si="6"/>
        <v>3級</v>
      </c>
      <c r="F232" s="10" t="str">
        <f t="shared" si="7"/>
        <v>除外</v>
      </c>
      <c r="G232" s="13" t="s">
        <v>1095</v>
      </c>
      <c r="H232" s="14">
        <v>1830482</v>
      </c>
    </row>
    <row r="233" spans="1:8" ht="30" customHeight="1">
      <c r="A233" s="7">
        <v>227</v>
      </c>
      <c r="B233" s="9" t="s">
        <v>133</v>
      </c>
      <c r="C233" s="9" t="s">
        <v>134</v>
      </c>
      <c r="D233" s="8">
        <v>36964</v>
      </c>
      <c r="E233" s="10" t="str">
        <f t="shared" si="6"/>
        <v>3級</v>
      </c>
      <c r="F233" s="10" t="str">
        <f t="shared" si="7"/>
        <v>除外</v>
      </c>
      <c r="G233" s="13" t="s">
        <v>1096</v>
      </c>
      <c r="H233" s="14">
        <v>1828565</v>
      </c>
    </row>
    <row r="234" spans="1:8" ht="30" customHeight="1">
      <c r="A234" s="7">
        <v>228</v>
      </c>
      <c r="B234" s="9" t="s">
        <v>1097</v>
      </c>
      <c r="C234" s="9" t="s">
        <v>268</v>
      </c>
      <c r="D234" s="8">
        <v>42893</v>
      </c>
      <c r="E234" s="10" t="str">
        <f t="shared" si="6"/>
        <v>3級</v>
      </c>
      <c r="F234" s="10" t="str">
        <f t="shared" si="7"/>
        <v>採用候補</v>
      </c>
      <c r="G234" s="13" t="s">
        <v>1098</v>
      </c>
      <c r="H234" s="14">
        <v>1810690</v>
      </c>
    </row>
    <row r="235" spans="1:8" ht="30" customHeight="1">
      <c r="A235" s="7">
        <v>229</v>
      </c>
      <c r="B235" s="9" t="s">
        <v>1099</v>
      </c>
      <c r="C235" s="9" t="s">
        <v>47</v>
      </c>
      <c r="D235" s="8">
        <v>43446</v>
      </c>
      <c r="E235" s="10" t="str">
        <f t="shared" si="6"/>
        <v>3級</v>
      </c>
      <c r="F235" s="10" t="str">
        <f t="shared" si="7"/>
        <v>採用候補</v>
      </c>
      <c r="G235" s="13" t="s">
        <v>1100</v>
      </c>
      <c r="H235" s="14">
        <v>1808218</v>
      </c>
    </row>
    <row r="236" spans="1:8" ht="30" customHeight="1">
      <c r="A236" s="7">
        <v>230</v>
      </c>
      <c r="B236" s="9" t="s">
        <v>135</v>
      </c>
      <c r="C236" s="9" t="s">
        <v>21</v>
      </c>
      <c r="D236" s="8">
        <v>32437</v>
      </c>
      <c r="E236" s="10" t="str">
        <f t="shared" si="6"/>
        <v>3級</v>
      </c>
      <c r="F236" s="10" t="str">
        <f t="shared" si="7"/>
        <v>除外</v>
      </c>
      <c r="G236" s="13" t="s">
        <v>1101</v>
      </c>
      <c r="H236" s="14">
        <v>1807562</v>
      </c>
    </row>
    <row r="237" spans="1:8" ht="30" customHeight="1">
      <c r="A237" s="7">
        <v>231</v>
      </c>
      <c r="B237" s="9" t="s">
        <v>136</v>
      </c>
      <c r="C237" s="9" t="s">
        <v>19</v>
      </c>
      <c r="D237" s="8">
        <v>39036</v>
      </c>
      <c r="E237" s="10" t="str">
        <f t="shared" si="6"/>
        <v>3級</v>
      </c>
      <c r="F237" s="10" t="str">
        <f t="shared" si="7"/>
        <v>除外</v>
      </c>
      <c r="G237" s="13" t="s">
        <v>1102</v>
      </c>
      <c r="H237" s="14">
        <v>1805938</v>
      </c>
    </row>
    <row r="238" spans="1:8" ht="30" customHeight="1">
      <c r="A238" s="7">
        <v>232</v>
      </c>
      <c r="B238" s="9" t="s">
        <v>1103</v>
      </c>
      <c r="C238" s="9" t="s">
        <v>777</v>
      </c>
      <c r="D238" s="8">
        <v>41094</v>
      </c>
      <c r="E238" s="10" t="str">
        <f t="shared" si="6"/>
        <v>3級</v>
      </c>
      <c r="F238" s="10" t="str">
        <f t="shared" si="7"/>
        <v>採用候補</v>
      </c>
      <c r="G238" s="13" t="s">
        <v>1104</v>
      </c>
      <c r="H238" s="14">
        <v>1791499</v>
      </c>
    </row>
    <row r="239" spans="1:8" ht="30" customHeight="1">
      <c r="A239" s="7">
        <v>233</v>
      </c>
      <c r="B239" s="9" t="s">
        <v>137</v>
      </c>
      <c r="C239" s="9" t="s">
        <v>29</v>
      </c>
      <c r="D239" s="8">
        <v>38987</v>
      </c>
      <c r="E239" s="10" t="str">
        <f t="shared" si="6"/>
        <v>3級</v>
      </c>
      <c r="F239" s="10" t="str">
        <f t="shared" si="7"/>
        <v>除外</v>
      </c>
      <c r="G239" s="13" t="s">
        <v>1105</v>
      </c>
      <c r="H239" s="14">
        <v>1789394</v>
      </c>
    </row>
    <row r="240" spans="1:8" ht="30" customHeight="1">
      <c r="A240" s="7">
        <v>234</v>
      </c>
      <c r="B240" s="9" t="s">
        <v>1106</v>
      </c>
      <c r="C240" s="9" t="s">
        <v>758</v>
      </c>
      <c r="D240" s="8">
        <v>40590</v>
      </c>
      <c r="E240" s="10" t="str">
        <f t="shared" si="6"/>
        <v>3級</v>
      </c>
      <c r="F240" s="10" t="str">
        <f t="shared" si="7"/>
        <v>採用候補</v>
      </c>
      <c r="G240" s="13" t="s">
        <v>1107</v>
      </c>
      <c r="H240" s="14">
        <v>1785057</v>
      </c>
    </row>
    <row r="241" spans="1:8" ht="30" customHeight="1">
      <c r="A241" s="7">
        <v>235</v>
      </c>
      <c r="B241" s="9" t="s">
        <v>138</v>
      </c>
      <c r="C241" s="9" t="s">
        <v>19</v>
      </c>
      <c r="D241" s="8">
        <v>36089</v>
      </c>
      <c r="E241" s="10" t="str">
        <f t="shared" si="6"/>
        <v>3級</v>
      </c>
      <c r="F241" s="10" t="str">
        <f t="shared" si="7"/>
        <v>除外</v>
      </c>
      <c r="G241" s="13" t="s">
        <v>1108</v>
      </c>
      <c r="H241" s="14">
        <v>1781852</v>
      </c>
    </row>
    <row r="242" spans="1:8" ht="30" customHeight="1">
      <c r="A242" s="7">
        <v>236</v>
      </c>
      <c r="B242" s="9" t="s">
        <v>1109</v>
      </c>
      <c r="C242" s="9" t="s">
        <v>1110</v>
      </c>
      <c r="D242" s="8">
        <v>44012</v>
      </c>
      <c r="E242" s="10" t="str">
        <f t="shared" si="6"/>
        <v>3級</v>
      </c>
      <c r="F242" s="10" t="str">
        <f t="shared" si="7"/>
        <v>採用候補</v>
      </c>
      <c r="G242" s="13" t="s">
        <v>1111</v>
      </c>
      <c r="H242" s="14">
        <v>1777774</v>
      </c>
    </row>
    <row r="243" spans="1:8" ht="30" customHeight="1">
      <c r="A243" s="7">
        <v>237</v>
      </c>
      <c r="B243" s="9" t="s">
        <v>139</v>
      </c>
      <c r="C243" s="9" t="s">
        <v>140</v>
      </c>
      <c r="D243" s="8">
        <v>37461</v>
      </c>
      <c r="E243" s="10" t="str">
        <f t="shared" si="6"/>
        <v>3級</v>
      </c>
      <c r="F243" s="10" t="str">
        <f t="shared" si="7"/>
        <v>除外</v>
      </c>
      <c r="G243" s="13" t="s">
        <v>1112</v>
      </c>
      <c r="H243" s="14">
        <v>1768779</v>
      </c>
    </row>
    <row r="244" spans="1:8" ht="30" customHeight="1">
      <c r="A244" s="7">
        <v>238</v>
      </c>
      <c r="B244" s="9" t="s">
        <v>1113</v>
      </c>
      <c r="C244" s="9" t="s">
        <v>844</v>
      </c>
      <c r="D244" s="8">
        <v>41899</v>
      </c>
      <c r="E244" s="10" t="str">
        <f t="shared" si="6"/>
        <v>3級</v>
      </c>
      <c r="F244" s="10" t="str">
        <f t="shared" si="7"/>
        <v>採用候補</v>
      </c>
      <c r="G244" s="13" t="s">
        <v>1114</v>
      </c>
      <c r="H244" s="14">
        <v>1765950</v>
      </c>
    </row>
    <row r="245" spans="1:8" ht="30" customHeight="1">
      <c r="A245" s="7">
        <v>239</v>
      </c>
      <c r="B245" s="9" t="s">
        <v>1115</v>
      </c>
      <c r="C245" s="9" t="s">
        <v>1116</v>
      </c>
      <c r="D245" s="8">
        <v>45679</v>
      </c>
      <c r="E245" s="10" t="str">
        <f t="shared" si="6"/>
        <v>3級</v>
      </c>
      <c r="F245" s="10" t="str">
        <f t="shared" si="7"/>
        <v>採用候補</v>
      </c>
      <c r="G245" s="13" t="s">
        <v>1117</v>
      </c>
      <c r="H245" s="14">
        <v>1761290</v>
      </c>
    </row>
    <row r="246" spans="1:8" ht="30" customHeight="1">
      <c r="A246" s="7">
        <v>240</v>
      </c>
      <c r="B246" s="9" t="s">
        <v>1118</v>
      </c>
      <c r="C246" s="9" t="s">
        <v>1119</v>
      </c>
      <c r="D246" s="8">
        <v>45770</v>
      </c>
      <c r="E246" s="10" t="str">
        <f t="shared" si="6"/>
        <v>3級</v>
      </c>
      <c r="F246" s="10" t="str">
        <f t="shared" si="7"/>
        <v>採用候補</v>
      </c>
      <c r="G246" s="13" t="s">
        <v>1120</v>
      </c>
      <c r="H246" s="14">
        <v>1760676</v>
      </c>
    </row>
    <row r="247" spans="1:8" ht="30" customHeight="1">
      <c r="A247" s="7">
        <v>241</v>
      </c>
      <c r="B247" s="9" t="s">
        <v>1121</v>
      </c>
      <c r="C247" s="9" t="s">
        <v>1122</v>
      </c>
      <c r="D247" s="8">
        <v>41762</v>
      </c>
      <c r="E247" s="10" t="str">
        <f t="shared" si="6"/>
        <v>3級</v>
      </c>
      <c r="F247" s="10" t="str">
        <f t="shared" si="7"/>
        <v>採用候補</v>
      </c>
      <c r="G247" s="13" t="s">
        <v>1123</v>
      </c>
      <c r="H247" s="14">
        <v>1755484</v>
      </c>
    </row>
    <row r="248" spans="1:8" ht="30" customHeight="1">
      <c r="A248" s="7">
        <v>242</v>
      </c>
      <c r="B248" s="9" t="s">
        <v>1124</v>
      </c>
      <c r="C248" s="9" t="s">
        <v>698</v>
      </c>
      <c r="D248" s="8">
        <v>40870</v>
      </c>
      <c r="E248" s="10" t="str">
        <f t="shared" si="6"/>
        <v>3級</v>
      </c>
      <c r="F248" s="10" t="str">
        <f t="shared" si="7"/>
        <v>採用候補</v>
      </c>
      <c r="G248" s="13" t="s">
        <v>1125</v>
      </c>
      <c r="H248" s="14">
        <v>1755464</v>
      </c>
    </row>
    <row r="249" spans="1:8" ht="30" customHeight="1">
      <c r="A249" s="7">
        <v>243</v>
      </c>
      <c r="B249" s="9" t="s">
        <v>141</v>
      </c>
      <c r="C249" s="9" t="s">
        <v>142</v>
      </c>
      <c r="D249" s="8">
        <v>38469</v>
      </c>
      <c r="E249" s="10" t="str">
        <f t="shared" si="6"/>
        <v>3級</v>
      </c>
      <c r="F249" s="10" t="str">
        <f t="shared" si="7"/>
        <v>除外</v>
      </c>
      <c r="G249" s="13" t="s">
        <v>1126</v>
      </c>
      <c r="H249" s="14">
        <v>1754741</v>
      </c>
    </row>
    <row r="250" spans="1:8" ht="30" customHeight="1">
      <c r="A250" s="7">
        <v>244</v>
      </c>
      <c r="B250" s="9" t="s">
        <v>143</v>
      </c>
      <c r="C250" s="9" t="s">
        <v>29</v>
      </c>
      <c r="D250" s="8">
        <v>38980</v>
      </c>
      <c r="E250" s="10" t="str">
        <f t="shared" si="6"/>
        <v>3級</v>
      </c>
      <c r="F250" s="10" t="str">
        <f t="shared" si="7"/>
        <v>除外</v>
      </c>
      <c r="G250" s="13" t="s">
        <v>1127</v>
      </c>
      <c r="H250" s="14">
        <v>1747485</v>
      </c>
    </row>
    <row r="251" spans="1:8" ht="30" customHeight="1">
      <c r="A251" s="7">
        <v>245</v>
      </c>
      <c r="B251" s="9" t="s">
        <v>144</v>
      </c>
      <c r="C251" s="9" t="s">
        <v>45</v>
      </c>
      <c r="D251" s="8">
        <v>39330</v>
      </c>
      <c r="E251" s="10" t="str">
        <f t="shared" si="6"/>
        <v>3級</v>
      </c>
      <c r="F251" s="10" t="str">
        <f t="shared" si="7"/>
        <v>除外</v>
      </c>
      <c r="G251" s="13" t="s">
        <v>1128</v>
      </c>
      <c r="H251" s="14">
        <v>1747088</v>
      </c>
    </row>
    <row r="252" spans="1:8" ht="30" customHeight="1">
      <c r="A252" s="7">
        <v>246</v>
      </c>
      <c r="B252" s="9" t="s">
        <v>145</v>
      </c>
      <c r="C252" s="9" t="s">
        <v>146</v>
      </c>
      <c r="D252" s="8">
        <v>37231</v>
      </c>
      <c r="E252" s="10" t="str">
        <f t="shared" si="6"/>
        <v>3級</v>
      </c>
      <c r="F252" s="10" t="str">
        <f t="shared" si="7"/>
        <v>除外</v>
      </c>
      <c r="G252" s="13" t="s">
        <v>1129</v>
      </c>
      <c r="H252" s="14">
        <v>1746529</v>
      </c>
    </row>
    <row r="253" spans="1:8" ht="30" customHeight="1">
      <c r="A253" s="7">
        <v>247</v>
      </c>
      <c r="B253" s="9" t="s">
        <v>1130</v>
      </c>
      <c r="C253" s="9" t="s">
        <v>1131</v>
      </c>
      <c r="D253" s="8">
        <v>45406</v>
      </c>
      <c r="E253" s="10" t="str">
        <f t="shared" si="6"/>
        <v>3級</v>
      </c>
      <c r="F253" s="10" t="str">
        <f t="shared" si="7"/>
        <v>採用候補</v>
      </c>
      <c r="G253" s="13" t="s">
        <v>1132</v>
      </c>
      <c r="H253" s="14">
        <v>1746229</v>
      </c>
    </row>
    <row r="254" spans="1:8" ht="30" customHeight="1">
      <c r="A254" s="7">
        <v>248</v>
      </c>
      <c r="B254" s="9" t="s">
        <v>147</v>
      </c>
      <c r="C254" s="9" t="s">
        <v>148</v>
      </c>
      <c r="D254" s="8">
        <v>38770</v>
      </c>
      <c r="E254" s="10" t="str">
        <f t="shared" si="6"/>
        <v>3級</v>
      </c>
      <c r="F254" s="10" t="str">
        <f t="shared" si="7"/>
        <v>除外</v>
      </c>
      <c r="G254" s="13" t="s">
        <v>1133</v>
      </c>
      <c r="H254" s="14">
        <v>1744774</v>
      </c>
    </row>
    <row r="255" spans="1:8" ht="30" customHeight="1">
      <c r="A255" s="7">
        <v>249</v>
      </c>
      <c r="B255" s="9" t="s">
        <v>1134</v>
      </c>
      <c r="C255" s="9" t="s">
        <v>247</v>
      </c>
      <c r="D255" s="8">
        <v>40674</v>
      </c>
      <c r="E255" s="10" t="str">
        <f t="shared" si="6"/>
        <v>3級</v>
      </c>
      <c r="F255" s="10" t="str">
        <f t="shared" si="7"/>
        <v>採用候補</v>
      </c>
      <c r="G255" s="13" t="s">
        <v>1135</v>
      </c>
      <c r="H255" s="14">
        <v>1744104</v>
      </c>
    </row>
    <row r="256" spans="1:8" ht="30" customHeight="1">
      <c r="A256" s="7">
        <v>250</v>
      </c>
      <c r="B256" s="9" t="s">
        <v>149</v>
      </c>
      <c r="C256" s="9" t="s">
        <v>88</v>
      </c>
      <c r="D256" s="8">
        <v>36551</v>
      </c>
      <c r="E256" s="10" t="str">
        <f t="shared" si="6"/>
        <v>3級</v>
      </c>
      <c r="F256" s="10" t="str">
        <f t="shared" si="7"/>
        <v>除外</v>
      </c>
      <c r="G256" s="13" t="s">
        <v>1136</v>
      </c>
      <c r="H256" s="14">
        <v>1734269</v>
      </c>
    </row>
    <row r="257" spans="1:8" ht="30" customHeight="1">
      <c r="A257" s="7">
        <v>251</v>
      </c>
      <c r="B257" s="9" t="s">
        <v>150</v>
      </c>
      <c r="C257" s="9" t="s">
        <v>151</v>
      </c>
      <c r="D257" s="8">
        <v>33996</v>
      </c>
      <c r="E257" s="10" t="str">
        <f t="shared" si="6"/>
        <v>3級</v>
      </c>
      <c r="F257" s="10" t="str">
        <f t="shared" si="7"/>
        <v>除外</v>
      </c>
      <c r="G257" s="13" t="s">
        <v>1137</v>
      </c>
      <c r="H257" s="14">
        <v>1727123</v>
      </c>
    </row>
    <row r="258" spans="1:8" ht="30" customHeight="1">
      <c r="A258" s="7">
        <v>252</v>
      </c>
      <c r="B258" s="9" t="s">
        <v>1075</v>
      </c>
      <c r="C258" s="9" t="s">
        <v>1138</v>
      </c>
      <c r="D258" s="8">
        <v>42788</v>
      </c>
      <c r="E258" s="10" t="str">
        <f t="shared" si="6"/>
        <v>3級</v>
      </c>
      <c r="F258" s="10" t="str">
        <f t="shared" si="7"/>
        <v>採用候補</v>
      </c>
      <c r="G258" s="13" t="s">
        <v>1139</v>
      </c>
      <c r="H258" s="14">
        <v>1726565</v>
      </c>
    </row>
    <row r="259" spans="1:8" ht="30" customHeight="1">
      <c r="A259" s="7">
        <v>253</v>
      </c>
      <c r="B259" s="9" t="s">
        <v>1140</v>
      </c>
      <c r="C259" s="9" t="s">
        <v>40</v>
      </c>
      <c r="D259" s="8">
        <v>41535</v>
      </c>
      <c r="E259" s="10" t="str">
        <f t="shared" si="6"/>
        <v>3級</v>
      </c>
      <c r="F259" s="10" t="str">
        <f t="shared" si="7"/>
        <v>採用候補</v>
      </c>
      <c r="G259" s="13" t="s">
        <v>1141</v>
      </c>
      <c r="H259" s="14">
        <v>1725948</v>
      </c>
    </row>
    <row r="260" spans="1:8" ht="30" customHeight="1">
      <c r="A260" s="7">
        <v>254</v>
      </c>
      <c r="B260" s="9" t="s">
        <v>1142</v>
      </c>
      <c r="C260" s="9" t="s">
        <v>1143</v>
      </c>
      <c r="D260" s="8">
        <v>41626</v>
      </c>
      <c r="E260" s="10" t="str">
        <f t="shared" si="6"/>
        <v>3級</v>
      </c>
      <c r="F260" s="10" t="str">
        <f t="shared" si="7"/>
        <v>採用候補</v>
      </c>
      <c r="G260" s="13" t="s">
        <v>1144</v>
      </c>
      <c r="H260" s="14">
        <v>1719608</v>
      </c>
    </row>
    <row r="261" spans="1:8" ht="30" customHeight="1">
      <c r="A261" s="7">
        <v>255</v>
      </c>
      <c r="B261" s="9" t="s">
        <v>152</v>
      </c>
      <c r="C261" s="9" t="s">
        <v>153</v>
      </c>
      <c r="D261" s="8">
        <v>36215</v>
      </c>
      <c r="E261" s="10" t="str">
        <f t="shared" si="6"/>
        <v>3級</v>
      </c>
      <c r="F261" s="10" t="str">
        <f t="shared" si="7"/>
        <v>除外</v>
      </c>
      <c r="G261" s="13" t="s">
        <v>1145</v>
      </c>
      <c r="H261" s="14">
        <v>1716291</v>
      </c>
    </row>
    <row r="262" spans="1:8" ht="30" customHeight="1">
      <c r="A262" s="7">
        <v>256</v>
      </c>
      <c r="B262" s="9" t="s">
        <v>1146</v>
      </c>
      <c r="C262" s="9" t="s">
        <v>837</v>
      </c>
      <c r="D262" s="8">
        <v>40835</v>
      </c>
      <c r="E262" s="10" t="str">
        <f t="shared" si="6"/>
        <v>3級</v>
      </c>
      <c r="F262" s="10" t="str">
        <f t="shared" si="7"/>
        <v>採用候補</v>
      </c>
      <c r="G262" s="13" t="s">
        <v>1147</v>
      </c>
      <c r="H262" s="14">
        <v>1715218</v>
      </c>
    </row>
    <row r="263" spans="1:8" ht="30" customHeight="1">
      <c r="A263" s="7">
        <v>257</v>
      </c>
      <c r="B263" s="9" t="s">
        <v>154</v>
      </c>
      <c r="C263" s="9" t="s">
        <v>155</v>
      </c>
      <c r="D263" s="8">
        <v>40107</v>
      </c>
      <c r="E263" s="10" t="str">
        <f t="shared" ref="E263:E326" si="8">CHOOSE(INT((A263-1)/100)+1,"5級","4級","3級","2級","1級","初段","二段","三段","四段","五段")</f>
        <v>3級</v>
      </c>
      <c r="F263" s="10" t="str">
        <f t="shared" ref="F263:F326" si="9">IF(D263&gt;=DATE(2010,1,1),"採用候補","除外")</f>
        <v>除外</v>
      </c>
      <c r="G263" s="13" t="s">
        <v>1148</v>
      </c>
      <c r="H263" s="14">
        <v>1711031</v>
      </c>
    </row>
    <row r="264" spans="1:8" ht="30" customHeight="1">
      <c r="A264" s="7">
        <v>258</v>
      </c>
      <c r="B264" s="9" t="s">
        <v>156</v>
      </c>
      <c r="C264" s="9" t="s">
        <v>157</v>
      </c>
      <c r="D264" s="8">
        <v>38399</v>
      </c>
      <c r="E264" s="10" t="str">
        <f t="shared" si="8"/>
        <v>3級</v>
      </c>
      <c r="F264" s="10" t="str">
        <f t="shared" si="9"/>
        <v>除外</v>
      </c>
      <c r="G264" s="13" t="s">
        <v>1149</v>
      </c>
      <c r="H264" s="14">
        <v>1708708</v>
      </c>
    </row>
    <row r="265" spans="1:8" ht="30" customHeight="1">
      <c r="A265" s="7">
        <v>259</v>
      </c>
      <c r="B265" s="9" t="s">
        <v>1150</v>
      </c>
      <c r="C265" s="9" t="s">
        <v>722</v>
      </c>
      <c r="D265" s="8">
        <v>43572</v>
      </c>
      <c r="E265" s="10" t="str">
        <f t="shared" si="8"/>
        <v>3級</v>
      </c>
      <c r="F265" s="10" t="str">
        <f t="shared" si="9"/>
        <v>採用候補</v>
      </c>
      <c r="G265" s="13" t="s">
        <v>1151</v>
      </c>
      <c r="H265" s="14">
        <v>1705905</v>
      </c>
    </row>
    <row r="266" spans="1:8" ht="30" customHeight="1">
      <c r="A266" s="7">
        <v>260</v>
      </c>
      <c r="B266" s="9" t="s">
        <v>1152</v>
      </c>
      <c r="C266" s="9" t="s">
        <v>682</v>
      </c>
      <c r="D266" s="8">
        <v>41045</v>
      </c>
      <c r="E266" s="10" t="str">
        <f t="shared" si="8"/>
        <v>3級</v>
      </c>
      <c r="F266" s="10" t="str">
        <f t="shared" si="9"/>
        <v>採用候補</v>
      </c>
      <c r="G266" s="13" t="s">
        <v>1153</v>
      </c>
      <c r="H266" s="14">
        <v>1702168</v>
      </c>
    </row>
    <row r="267" spans="1:8" ht="30" customHeight="1">
      <c r="A267" s="7">
        <v>261</v>
      </c>
      <c r="B267" s="9" t="s">
        <v>158</v>
      </c>
      <c r="C267" s="9" t="s">
        <v>159</v>
      </c>
      <c r="D267" s="8">
        <v>33745</v>
      </c>
      <c r="E267" s="10" t="str">
        <f t="shared" si="8"/>
        <v>3級</v>
      </c>
      <c r="F267" s="10" t="str">
        <f t="shared" si="9"/>
        <v>除外</v>
      </c>
      <c r="G267" s="13" t="s">
        <v>1154</v>
      </c>
      <c r="H267" s="14">
        <v>1698842</v>
      </c>
    </row>
    <row r="268" spans="1:8" ht="30" customHeight="1">
      <c r="A268" s="7">
        <v>262</v>
      </c>
      <c r="B268" s="9" t="s">
        <v>1155</v>
      </c>
      <c r="C268" s="9" t="s">
        <v>755</v>
      </c>
      <c r="D268" s="8">
        <v>44313</v>
      </c>
      <c r="E268" s="10" t="str">
        <f t="shared" si="8"/>
        <v>3級</v>
      </c>
      <c r="F268" s="10" t="str">
        <f t="shared" si="9"/>
        <v>採用候補</v>
      </c>
      <c r="G268" s="13" t="s">
        <v>1156</v>
      </c>
      <c r="H268" s="14">
        <v>1695112</v>
      </c>
    </row>
    <row r="269" spans="1:8" ht="30" customHeight="1">
      <c r="A269" s="7">
        <v>263</v>
      </c>
      <c r="B269" s="9" t="s">
        <v>1157</v>
      </c>
      <c r="C269" s="9" t="s">
        <v>1158</v>
      </c>
      <c r="D269" s="8">
        <v>41185</v>
      </c>
      <c r="E269" s="10" t="str">
        <f t="shared" si="8"/>
        <v>3級</v>
      </c>
      <c r="F269" s="10" t="str">
        <f t="shared" si="9"/>
        <v>採用候補</v>
      </c>
      <c r="G269" s="13" t="s">
        <v>1159</v>
      </c>
      <c r="H269" s="14">
        <v>1694453</v>
      </c>
    </row>
    <row r="270" spans="1:8" ht="30" customHeight="1">
      <c r="A270" s="7">
        <v>264</v>
      </c>
      <c r="B270" s="9" t="s">
        <v>1160</v>
      </c>
      <c r="C270" s="9" t="s">
        <v>1161</v>
      </c>
      <c r="D270" s="8">
        <v>44512</v>
      </c>
      <c r="E270" s="10" t="str">
        <f t="shared" si="8"/>
        <v>3級</v>
      </c>
      <c r="F270" s="10" t="str">
        <f t="shared" si="9"/>
        <v>採用候補</v>
      </c>
      <c r="G270" s="13" t="s">
        <v>1162</v>
      </c>
      <c r="H270" s="14">
        <v>1691946</v>
      </c>
    </row>
    <row r="271" spans="1:8" ht="30" customHeight="1">
      <c r="A271" s="7">
        <v>265</v>
      </c>
      <c r="B271" s="9" t="s">
        <v>1163</v>
      </c>
      <c r="C271" s="9" t="s">
        <v>12</v>
      </c>
      <c r="D271" s="8">
        <v>41444</v>
      </c>
      <c r="E271" s="10" t="str">
        <f t="shared" si="8"/>
        <v>3級</v>
      </c>
      <c r="F271" s="10" t="str">
        <f t="shared" si="9"/>
        <v>採用候補</v>
      </c>
      <c r="G271" s="13" t="s">
        <v>1164</v>
      </c>
      <c r="H271" s="14">
        <v>1689002</v>
      </c>
    </row>
    <row r="272" spans="1:8" ht="30" customHeight="1">
      <c r="A272" s="7">
        <v>266</v>
      </c>
      <c r="B272" s="9" t="s">
        <v>160</v>
      </c>
      <c r="C272" s="9" t="s">
        <v>161</v>
      </c>
      <c r="D272" s="8">
        <v>39225</v>
      </c>
      <c r="E272" s="10" t="str">
        <f t="shared" si="8"/>
        <v>3級</v>
      </c>
      <c r="F272" s="10" t="str">
        <f t="shared" si="9"/>
        <v>除外</v>
      </c>
      <c r="G272" s="13" t="s">
        <v>1165</v>
      </c>
      <c r="H272" s="14">
        <v>1685186</v>
      </c>
    </row>
    <row r="273" spans="1:8" ht="30" customHeight="1">
      <c r="A273" s="7">
        <v>267</v>
      </c>
      <c r="B273" s="9" t="s">
        <v>99</v>
      </c>
      <c r="C273" s="9" t="s">
        <v>29</v>
      </c>
      <c r="D273" s="8">
        <v>37518</v>
      </c>
      <c r="E273" s="10" t="str">
        <f t="shared" si="8"/>
        <v>3級</v>
      </c>
      <c r="F273" s="10" t="str">
        <f t="shared" si="9"/>
        <v>除外</v>
      </c>
      <c r="G273" s="13" t="s">
        <v>1166</v>
      </c>
      <c r="H273" s="14">
        <v>1682602</v>
      </c>
    </row>
    <row r="274" spans="1:8" ht="30" customHeight="1">
      <c r="A274" s="7">
        <v>268</v>
      </c>
      <c r="B274" s="9" t="s">
        <v>1167</v>
      </c>
      <c r="C274" s="9" t="s">
        <v>1168</v>
      </c>
      <c r="D274" s="8">
        <v>44342</v>
      </c>
      <c r="E274" s="10" t="str">
        <f t="shared" si="8"/>
        <v>3級</v>
      </c>
      <c r="F274" s="10" t="str">
        <f t="shared" si="9"/>
        <v>採用候補</v>
      </c>
      <c r="G274" s="13" t="s">
        <v>1169</v>
      </c>
      <c r="H274" s="14">
        <v>1681562</v>
      </c>
    </row>
    <row r="275" spans="1:8" ht="30" customHeight="1">
      <c r="A275" s="7">
        <v>269</v>
      </c>
      <c r="B275" s="9" t="s">
        <v>1170</v>
      </c>
      <c r="C275" s="9" t="s">
        <v>155</v>
      </c>
      <c r="D275" s="8">
        <v>42487</v>
      </c>
      <c r="E275" s="10" t="str">
        <f t="shared" si="8"/>
        <v>3級</v>
      </c>
      <c r="F275" s="10" t="str">
        <f t="shared" si="9"/>
        <v>採用候補</v>
      </c>
      <c r="G275" s="13" t="s">
        <v>1171</v>
      </c>
      <c r="H275" s="14">
        <v>1680725</v>
      </c>
    </row>
    <row r="276" spans="1:8" ht="30" customHeight="1">
      <c r="A276" s="7">
        <v>270</v>
      </c>
      <c r="B276" s="9" t="s">
        <v>1172</v>
      </c>
      <c r="C276" s="9" t="s">
        <v>685</v>
      </c>
      <c r="D276" s="8">
        <v>45569</v>
      </c>
      <c r="E276" s="10" t="str">
        <f t="shared" si="8"/>
        <v>3級</v>
      </c>
      <c r="F276" s="10" t="str">
        <f t="shared" si="9"/>
        <v>採用候補</v>
      </c>
      <c r="G276" s="13" t="s">
        <v>1173</v>
      </c>
      <c r="H276" s="14">
        <v>1679548</v>
      </c>
    </row>
    <row r="277" spans="1:8" ht="30" customHeight="1">
      <c r="A277" s="7">
        <v>271</v>
      </c>
      <c r="B277" s="9" t="s">
        <v>162</v>
      </c>
      <c r="C277" s="9" t="s">
        <v>47</v>
      </c>
      <c r="D277" s="8">
        <v>39057</v>
      </c>
      <c r="E277" s="10" t="str">
        <f t="shared" si="8"/>
        <v>3級</v>
      </c>
      <c r="F277" s="10" t="str">
        <f t="shared" si="9"/>
        <v>除外</v>
      </c>
      <c r="G277" s="13" t="s">
        <v>1174</v>
      </c>
      <c r="H277" s="14">
        <v>1677527</v>
      </c>
    </row>
    <row r="278" spans="1:8" ht="30" customHeight="1">
      <c r="A278" s="7">
        <v>272</v>
      </c>
      <c r="B278" s="9" t="s">
        <v>163</v>
      </c>
      <c r="C278" s="9" t="s">
        <v>155</v>
      </c>
      <c r="D278" s="8">
        <v>40149</v>
      </c>
      <c r="E278" s="10" t="str">
        <f t="shared" si="8"/>
        <v>3級</v>
      </c>
      <c r="F278" s="10" t="str">
        <f t="shared" si="9"/>
        <v>除外</v>
      </c>
      <c r="G278" s="13" t="s">
        <v>1175</v>
      </c>
      <c r="H278" s="14">
        <v>1676506</v>
      </c>
    </row>
    <row r="279" spans="1:8" ht="30" customHeight="1">
      <c r="A279" s="7">
        <v>273</v>
      </c>
      <c r="B279" s="9" t="s">
        <v>164</v>
      </c>
      <c r="C279" s="9" t="s">
        <v>165</v>
      </c>
      <c r="D279" s="8">
        <v>39218</v>
      </c>
      <c r="E279" s="10" t="str">
        <f t="shared" si="8"/>
        <v>3級</v>
      </c>
      <c r="F279" s="10" t="str">
        <f t="shared" si="9"/>
        <v>除外</v>
      </c>
      <c r="G279" s="13" t="s">
        <v>1176</v>
      </c>
      <c r="H279" s="14">
        <v>1675729</v>
      </c>
    </row>
    <row r="280" spans="1:8" ht="30" customHeight="1">
      <c r="A280" s="7">
        <v>274</v>
      </c>
      <c r="B280" s="9" t="s">
        <v>166</v>
      </c>
      <c r="C280" s="9" t="s">
        <v>19</v>
      </c>
      <c r="D280" s="8">
        <v>38133</v>
      </c>
      <c r="E280" s="10" t="str">
        <f t="shared" si="8"/>
        <v>3級</v>
      </c>
      <c r="F280" s="10" t="str">
        <f t="shared" si="9"/>
        <v>除外</v>
      </c>
      <c r="G280" s="13" t="s">
        <v>1177</v>
      </c>
      <c r="H280" s="14">
        <v>1668518</v>
      </c>
    </row>
    <row r="281" spans="1:8" ht="30" customHeight="1">
      <c r="A281" s="7">
        <v>275</v>
      </c>
      <c r="B281" s="9" t="s">
        <v>1178</v>
      </c>
      <c r="C281" s="9" t="s">
        <v>1179</v>
      </c>
      <c r="D281" s="8">
        <v>42396</v>
      </c>
      <c r="E281" s="10" t="str">
        <f t="shared" si="8"/>
        <v>3級</v>
      </c>
      <c r="F281" s="10" t="str">
        <f t="shared" si="9"/>
        <v>採用候補</v>
      </c>
      <c r="G281" s="13" t="s">
        <v>1180</v>
      </c>
      <c r="H281" s="14">
        <v>1659678</v>
      </c>
    </row>
    <row r="282" spans="1:8" ht="30" customHeight="1">
      <c r="A282" s="7">
        <v>276</v>
      </c>
      <c r="B282" s="9" t="s">
        <v>1181</v>
      </c>
      <c r="C282" s="9" t="s">
        <v>47</v>
      </c>
      <c r="D282" s="8">
        <v>41563</v>
      </c>
      <c r="E282" s="10" t="str">
        <f t="shared" si="8"/>
        <v>3級</v>
      </c>
      <c r="F282" s="10" t="str">
        <f t="shared" si="9"/>
        <v>採用候補</v>
      </c>
      <c r="G282" s="13" t="s">
        <v>1182</v>
      </c>
      <c r="H282" s="14">
        <v>1659260</v>
      </c>
    </row>
    <row r="283" spans="1:8" ht="30" customHeight="1">
      <c r="A283" s="7">
        <v>277</v>
      </c>
      <c r="B283" s="9" t="s">
        <v>167</v>
      </c>
      <c r="C283" s="9" t="s">
        <v>168</v>
      </c>
      <c r="D283" s="8">
        <v>36852</v>
      </c>
      <c r="E283" s="10" t="str">
        <f t="shared" si="8"/>
        <v>3級</v>
      </c>
      <c r="F283" s="10" t="str">
        <f t="shared" si="9"/>
        <v>除外</v>
      </c>
      <c r="G283" s="13" t="s">
        <v>1183</v>
      </c>
      <c r="H283" s="14">
        <v>1657924</v>
      </c>
    </row>
    <row r="284" spans="1:8" ht="30" customHeight="1">
      <c r="A284" s="7">
        <v>278</v>
      </c>
      <c r="B284" s="9" t="s">
        <v>1184</v>
      </c>
      <c r="C284" s="9" t="s">
        <v>1185</v>
      </c>
      <c r="D284" s="8">
        <v>41969</v>
      </c>
      <c r="E284" s="10" t="str">
        <f t="shared" si="8"/>
        <v>3級</v>
      </c>
      <c r="F284" s="10" t="str">
        <f t="shared" si="9"/>
        <v>採用候補</v>
      </c>
      <c r="G284" s="13" t="s">
        <v>1186</v>
      </c>
      <c r="H284" s="14">
        <v>1657072</v>
      </c>
    </row>
    <row r="285" spans="1:8" ht="30" customHeight="1">
      <c r="A285" s="7">
        <v>279</v>
      </c>
      <c r="B285" s="9" t="s">
        <v>1187</v>
      </c>
      <c r="C285" s="9" t="s">
        <v>1021</v>
      </c>
      <c r="D285" s="8">
        <v>43852</v>
      </c>
      <c r="E285" s="10" t="str">
        <f t="shared" si="8"/>
        <v>3級</v>
      </c>
      <c r="F285" s="10" t="str">
        <f t="shared" si="9"/>
        <v>採用候補</v>
      </c>
      <c r="G285" s="13" t="s">
        <v>1188</v>
      </c>
      <c r="H285" s="14">
        <v>1655767</v>
      </c>
    </row>
    <row r="286" spans="1:8" ht="30" customHeight="1">
      <c r="A286" s="7">
        <v>280</v>
      </c>
      <c r="B286" s="9" t="s">
        <v>169</v>
      </c>
      <c r="C286" s="9" t="s">
        <v>25</v>
      </c>
      <c r="D286" s="8">
        <v>35983</v>
      </c>
      <c r="E286" s="10" t="str">
        <f t="shared" si="8"/>
        <v>3級</v>
      </c>
      <c r="F286" s="10" t="str">
        <f t="shared" si="9"/>
        <v>除外</v>
      </c>
      <c r="G286" s="13" t="s">
        <v>1189</v>
      </c>
      <c r="H286" s="14">
        <v>1654497</v>
      </c>
    </row>
    <row r="287" spans="1:8" ht="30" customHeight="1">
      <c r="A287" s="7">
        <v>281</v>
      </c>
      <c r="B287" s="9" t="s">
        <v>170</v>
      </c>
      <c r="C287" s="9" t="s">
        <v>165</v>
      </c>
      <c r="D287" s="8">
        <v>37188</v>
      </c>
      <c r="E287" s="10" t="str">
        <f t="shared" si="8"/>
        <v>3級</v>
      </c>
      <c r="F287" s="10" t="str">
        <f t="shared" si="9"/>
        <v>除外</v>
      </c>
      <c r="G287" s="13" t="s">
        <v>1190</v>
      </c>
      <c r="H287" s="14">
        <v>1654326</v>
      </c>
    </row>
    <row r="288" spans="1:8" ht="30" customHeight="1">
      <c r="A288" s="7">
        <v>282</v>
      </c>
      <c r="B288" s="9" t="s">
        <v>171</v>
      </c>
      <c r="C288" s="9" t="s">
        <v>172</v>
      </c>
      <c r="D288" s="8">
        <v>37090</v>
      </c>
      <c r="E288" s="10" t="str">
        <f t="shared" si="8"/>
        <v>3級</v>
      </c>
      <c r="F288" s="10" t="str">
        <f t="shared" si="9"/>
        <v>除外</v>
      </c>
      <c r="G288" s="13" t="s">
        <v>1191</v>
      </c>
      <c r="H288" s="14">
        <v>1650768</v>
      </c>
    </row>
    <row r="289" spans="1:8" ht="30" customHeight="1">
      <c r="A289" s="7">
        <v>283</v>
      </c>
      <c r="B289" s="9" t="s">
        <v>173</v>
      </c>
      <c r="C289" s="9" t="s">
        <v>174</v>
      </c>
      <c r="D289" s="8">
        <v>38658</v>
      </c>
      <c r="E289" s="10" t="str">
        <f t="shared" si="8"/>
        <v>3級</v>
      </c>
      <c r="F289" s="10" t="str">
        <f t="shared" si="9"/>
        <v>除外</v>
      </c>
      <c r="G289" s="13" t="s">
        <v>1192</v>
      </c>
      <c r="H289" s="14">
        <v>1645208</v>
      </c>
    </row>
    <row r="290" spans="1:8" ht="30" customHeight="1">
      <c r="A290" s="7">
        <v>284</v>
      </c>
      <c r="B290" s="9" t="s">
        <v>175</v>
      </c>
      <c r="C290" s="9" t="s">
        <v>33</v>
      </c>
      <c r="D290" s="8">
        <v>39785</v>
      </c>
      <c r="E290" s="10" t="str">
        <f t="shared" si="8"/>
        <v>3級</v>
      </c>
      <c r="F290" s="10" t="str">
        <f t="shared" si="9"/>
        <v>除外</v>
      </c>
      <c r="G290" s="13" t="s">
        <v>1193</v>
      </c>
      <c r="H290" s="14">
        <v>1644652</v>
      </c>
    </row>
    <row r="291" spans="1:8" ht="30" customHeight="1">
      <c r="A291" s="7">
        <v>285</v>
      </c>
      <c r="B291" s="9" t="s">
        <v>1194</v>
      </c>
      <c r="C291" s="9" t="s">
        <v>722</v>
      </c>
      <c r="D291" s="8">
        <v>43418</v>
      </c>
      <c r="E291" s="10" t="str">
        <f t="shared" si="8"/>
        <v>3級</v>
      </c>
      <c r="F291" s="10" t="str">
        <f t="shared" si="9"/>
        <v>採用候補</v>
      </c>
      <c r="G291" s="13" t="s">
        <v>1195</v>
      </c>
      <c r="H291" s="14">
        <v>1643702</v>
      </c>
    </row>
    <row r="292" spans="1:8" ht="30" customHeight="1">
      <c r="A292" s="7">
        <v>286</v>
      </c>
      <c r="B292" s="9" t="s">
        <v>1196</v>
      </c>
      <c r="C292" s="9" t="s">
        <v>1197</v>
      </c>
      <c r="D292" s="8">
        <v>41451</v>
      </c>
      <c r="E292" s="10" t="str">
        <f t="shared" si="8"/>
        <v>3級</v>
      </c>
      <c r="F292" s="10" t="str">
        <f t="shared" si="9"/>
        <v>採用候補</v>
      </c>
      <c r="G292" s="13" t="s">
        <v>1198</v>
      </c>
      <c r="H292" s="14">
        <v>1642506</v>
      </c>
    </row>
    <row r="293" spans="1:8" ht="30" customHeight="1">
      <c r="A293" s="7">
        <v>287</v>
      </c>
      <c r="B293" s="9" t="s">
        <v>1199</v>
      </c>
      <c r="C293" s="9" t="s">
        <v>682</v>
      </c>
      <c r="D293" s="8">
        <v>43404</v>
      </c>
      <c r="E293" s="10" t="str">
        <f t="shared" si="8"/>
        <v>3級</v>
      </c>
      <c r="F293" s="10" t="str">
        <f t="shared" si="9"/>
        <v>採用候補</v>
      </c>
      <c r="G293" s="13" t="s">
        <v>1200</v>
      </c>
      <c r="H293" s="14">
        <v>1629154</v>
      </c>
    </row>
    <row r="294" spans="1:8" ht="30" customHeight="1">
      <c r="A294" s="7">
        <v>288</v>
      </c>
      <c r="B294" s="9" t="s">
        <v>176</v>
      </c>
      <c r="C294" s="9" t="s">
        <v>72</v>
      </c>
      <c r="D294" s="8">
        <v>39162</v>
      </c>
      <c r="E294" s="10" t="str">
        <f t="shared" si="8"/>
        <v>3級</v>
      </c>
      <c r="F294" s="10" t="str">
        <f t="shared" si="9"/>
        <v>除外</v>
      </c>
      <c r="G294" s="13" t="s">
        <v>1201</v>
      </c>
      <c r="H294" s="14">
        <v>1628329</v>
      </c>
    </row>
    <row r="295" spans="1:8" ht="30" customHeight="1">
      <c r="A295" s="7">
        <v>289</v>
      </c>
      <c r="B295" s="9" t="s">
        <v>1202</v>
      </c>
      <c r="C295" s="9" t="s">
        <v>12</v>
      </c>
      <c r="D295" s="8">
        <v>41262</v>
      </c>
      <c r="E295" s="10" t="str">
        <f t="shared" si="8"/>
        <v>3級</v>
      </c>
      <c r="F295" s="10" t="str">
        <f t="shared" si="9"/>
        <v>採用候補</v>
      </c>
      <c r="G295" s="13" t="s">
        <v>1203</v>
      </c>
      <c r="H295" s="14">
        <v>1625137</v>
      </c>
    </row>
    <row r="296" spans="1:8" ht="30" customHeight="1">
      <c r="A296" s="7">
        <v>290</v>
      </c>
      <c r="B296" s="9" t="s">
        <v>1204</v>
      </c>
      <c r="C296" s="9" t="s">
        <v>1205</v>
      </c>
      <c r="D296" s="8">
        <v>44272</v>
      </c>
      <c r="E296" s="10" t="str">
        <f t="shared" si="8"/>
        <v>3級</v>
      </c>
      <c r="F296" s="10" t="str">
        <f t="shared" si="9"/>
        <v>採用候補</v>
      </c>
      <c r="G296" s="13" t="s">
        <v>1206</v>
      </c>
      <c r="H296" s="14">
        <v>1623717</v>
      </c>
    </row>
    <row r="297" spans="1:8" ht="30" customHeight="1">
      <c r="A297" s="7">
        <v>291</v>
      </c>
      <c r="B297" s="9" t="s">
        <v>1207</v>
      </c>
      <c r="C297" s="9" t="s">
        <v>155</v>
      </c>
      <c r="D297" s="8">
        <v>40394</v>
      </c>
      <c r="E297" s="10" t="str">
        <f t="shared" si="8"/>
        <v>3級</v>
      </c>
      <c r="F297" s="10" t="str">
        <f t="shared" si="9"/>
        <v>採用候補</v>
      </c>
      <c r="G297" s="13" t="s">
        <v>1208</v>
      </c>
      <c r="H297" s="14">
        <v>1623577</v>
      </c>
    </row>
    <row r="298" spans="1:8" ht="42" customHeight="1">
      <c r="A298" s="7">
        <v>292</v>
      </c>
      <c r="B298" s="9" t="s">
        <v>1209</v>
      </c>
      <c r="C298" s="9" t="s">
        <v>1210</v>
      </c>
      <c r="D298" s="8">
        <v>44237</v>
      </c>
      <c r="E298" s="10" t="str">
        <f t="shared" si="8"/>
        <v>3級</v>
      </c>
      <c r="F298" s="10" t="str">
        <f t="shared" si="9"/>
        <v>採用候補</v>
      </c>
      <c r="G298" s="13" t="s">
        <v>1211</v>
      </c>
      <c r="H298" s="14">
        <v>1615251</v>
      </c>
    </row>
    <row r="299" spans="1:8" ht="42" customHeight="1">
      <c r="A299" s="7">
        <v>293</v>
      </c>
      <c r="B299" s="9" t="s">
        <v>1212</v>
      </c>
      <c r="C299" s="9" t="s">
        <v>1213</v>
      </c>
      <c r="D299" s="8">
        <v>42473</v>
      </c>
      <c r="E299" s="10" t="str">
        <f t="shared" si="8"/>
        <v>3級</v>
      </c>
      <c r="F299" s="10" t="str">
        <f t="shared" si="9"/>
        <v>採用候補</v>
      </c>
      <c r="G299" s="13" t="s">
        <v>1214</v>
      </c>
      <c r="H299" s="14">
        <v>1602467</v>
      </c>
    </row>
    <row r="300" spans="1:8" ht="30" customHeight="1">
      <c r="A300" s="7">
        <v>294</v>
      </c>
      <c r="B300" s="9" t="s">
        <v>177</v>
      </c>
      <c r="C300" s="9" t="s">
        <v>161</v>
      </c>
      <c r="D300" s="8">
        <v>36313</v>
      </c>
      <c r="E300" s="10" t="str">
        <f t="shared" si="8"/>
        <v>3級</v>
      </c>
      <c r="F300" s="10" t="str">
        <f t="shared" si="9"/>
        <v>除外</v>
      </c>
      <c r="G300" s="13" t="s">
        <v>1215</v>
      </c>
      <c r="H300" s="14">
        <v>1587455</v>
      </c>
    </row>
    <row r="301" spans="1:8" ht="42" customHeight="1">
      <c r="A301" s="7">
        <v>295</v>
      </c>
      <c r="B301" s="9" t="s">
        <v>1216</v>
      </c>
      <c r="C301" s="9" t="s">
        <v>310</v>
      </c>
      <c r="D301" s="8">
        <v>40394</v>
      </c>
      <c r="E301" s="10" t="str">
        <f t="shared" si="8"/>
        <v>3級</v>
      </c>
      <c r="F301" s="10" t="str">
        <f t="shared" si="9"/>
        <v>採用候補</v>
      </c>
      <c r="G301" s="13" t="s">
        <v>1217</v>
      </c>
      <c r="H301" s="14">
        <v>1586243</v>
      </c>
    </row>
    <row r="302" spans="1:8" ht="30" customHeight="1">
      <c r="A302" s="7">
        <v>296</v>
      </c>
      <c r="B302" s="9" t="s">
        <v>178</v>
      </c>
      <c r="C302" s="9" t="s">
        <v>56</v>
      </c>
      <c r="D302" s="8">
        <v>38791</v>
      </c>
      <c r="E302" s="10" t="str">
        <f t="shared" si="8"/>
        <v>3級</v>
      </c>
      <c r="F302" s="10" t="str">
        <f t="shared" si="9"/>
        <v>除外</v>
      </c>
      <c r="G302" s="13" t="s">
        <v>1218</v>
      </c>
      <c r="H302" s="14">
        <v>1584868</v>
      </c>
    </row>
    <row r="303" spans="1:8" ht="30" customHeight="1">
      <c r="A303" s="7">
        <v>297</v>
      </c>
      <c r="B303" s="9" t="s">
        <v>179</v>
      </c>
      <c r="C303" s="9" t="s">
        <v>15</v>
      </c>
      <c r="D303" s="8">
        <v>38777</v>
      </c>
      <c r="E303" s="10" t="str">
        <f t="shared" si="8"/>
        <v>3級</v>
      </c>
      <c r="F303" s="10" t="str">
        <f t="shared" si="9"/>
        <v>除外</v>
      </c>
      <c r="G303" s="13" t="s">
        <v>1219</v>
      </c>
      <c r="H303" s="14">
        <v>1584769</v>
      </c>
    </row>
    <row r="304" spans="1:8" ht="30" customHeight="1">
      <c r="A304" s="7">
        <v>298</v>
      </c>
      <c r="B304" s="9" t="s">
        <v>1220</v>
      </c>
      <c r="C304" s="9" t="s">
        <v>1221</v>
      </c>
      <c r="D304" s="8">
        <v>42963</v>
      </c>
      <c r="E304" s="10" t="str">
        <f t="shared" si="8"/>
        <v>3級</v>
      </c>
      <c r="F304" s="10" t="str">
        <f t="shared" si="9"/>
        <v>採用候補</v>
      </c>
      <c r="G304" s="13" t="s">
        <v>1222</v>
      </c>
      <c r="H304" s="14">
        <v>1579145</v>
      </c>
    </row>
    <row r="305" spans="1:8" ht="30" customHeight="1">
      <c r="A305" s="7">
        <v>299</v>
      </c>
      <c r="B305" s="9" t="s">
        <v>112</v>
      </c>
      <c r="C305" s="9" t="s">
        <v>155</v>
      </c>
      <c r="D305" s="8">
        <v>41430</v>
      </c>
      <c r="E305" s="10" t="str">
        <f t="shared" si="8"/>
        <v>3級</v>
      </c>
      <c r="F305" s="10" t="str">
        <f t="shared" si="9"/>
        <v>採用候補</v>
      </c>
      <c r="G305" s="13" t="s">
        <v>1223</v>
      </c>
      <c r="H305" s="14">
        <v>1578553</v>
      </c>
    </row>
    <row r="306" spans="1:8" ht="30" customHeight="1">
      <c r="A306" s="7">
        <v>300</v>
      </c>
      <c r="B306" s="9" t="s">
        <v>180</v>
      </c>
      <c r="C306" s="9" t="s">
        <v>181</v>
      </c>
      <c r="D306" s="8">
        <v>34997</v>
      </c>
      <c r="E306" s="10" t="str">
        <f t="shared" si="8"/>
        <v>3級</v>
      </c>
      <c r="F306" s="10" t="str">
        <f t="shared" si="9"/>
        <v>除外</v>
      </c>
      <c r="G306" s="13" t="s">
        <v>1224</v>
      </c>
      <c r="H306" s="14">
        <v>1572479</v>
      </c>
    </row>
    <row r="307" spans="1:8" ht="30" customHeight="1">
      <c r="A307" s="7">
        <v>301</v>
      </c>
      <c r="B307" s="9" t="s">
        <v>182</v>
      </c>
      <c r="C307" s="9" t="s">
        <v>183</v>
      </c>
      <c r="D307" s="8">
        <v>36642</v>
      </c>
      <c r="E307" s="10" t="str">
        <f t="shared" si="8"/>
        <v>2級</v>
      </c>
      <c r="F307" s="10" t="str">
        <f t="shared" si="9"/>
        <v>除外</v>
      </c>
      <c r="G307" s="13" t="s">
        <v>1225</v>
      </c>
      <c r="H307" s="14">
        <v>1566677</v>
      </c>
    </row>
    <row r="308" spans="1:8" ht="30" customHeight="1">
      <c r="A308" s="7">
        <v>302</v>
      </c>
      <c r="B308" s="9" t="s">
        <v>145</v>
      </c>
      <c r="C308" s="9" t="s">
        <v>184</v>
      </c>
      <c r="D308" s="8">
        <v>39337</v>
      </c>
      <c r="E308" s="10" t="str">
        <f t="shared" si="8"/>
        <v>2級</v>
      </c>
      <c r="F308" s="10" t="str">
        <f t="shared" si="9"/>
        <v>除外</v>
      </c>
      <c r="G308" s="13" t="s">
        <v>1226</v>
      </c>
      <c r="H308" s="14">
        <v>1565425</v>
      </c>
    </row>
    <row r="309" spans="1:8" ht="30" customHeight="1">
      <c r="A309" s="7">
        <v>303</v>
      </c>
      <c r="B309" s="9" t="s">
        <v>1227</v>
      </c>
      <c r="C309" s="9" t="s">
        <v>1025</v>
      </c>
      <c r="D309" s="8">
        <v>43565</v>
      </c>
      <c r="E309" s="10" t="str">
        <f t="shared" si="8"/>
        <v>2級</v>
      </c>
      <c r="F309" s="10" t="str">
        <f t="shared" si="9"/>
        <v>採用候補</v>
      </c>
      <c r="G309" s="13" t="s">
        <v>1228</v>
      </c>
      <c r="H309" s="14">
        <v>1564562</v>
      </c>
    </row>
    <row r="310" spans="1:8" ht="30" customHeight="1">
      <c r="A310" s="7">
        <v>304</v>
      </c>
      <c r="B310" s="9" t="s">
        <v>1229</v>
      </c>
      <c r="C310" s="9" t="s">
        <v>738</v>
      </c>
      <c r="D310" s="8">
        <v>43800</v>
      </c>
      <c r="E310" s="10" t="str">
        <f t="shared" si="8"/>
        <v>2級</v>
      </c>
      <c r="F310" s="10" t="str">
        <f t="shared" si="9"/>
        <v>採用候補</v>
      </c>
      <c r="G310" s="13" t="s">
        <v>1230</v>
      </c>
      <c r="H310" s="14">
        <v>1564427</v>
      </c>
    </row>
    <row r="311" spans="1:8" ht="30" customHeight="1">
      <c r="A311" s="7">
        <v>305</v>
      </c>
      <c r="B311" s="9" t="s">
        <v>185</v>
      </c>
      <c r="C311" s="9" t="s">
        <v>19</v>
      </c>
      <c r="D311" s="8">
        <v>35100</v>
      </c>
      <c r="E311" s="10" t="str">
        <f t="shared" si="8"/>
        <v>2級</v>
      </c>
      <c r="F311" s="10" t="str">
        <f t="shared" si="9"/>
        <v>除外</v>
      </c>
      <c r="G311" s="13" t="s">
        <v>1231</v>
      </c>
      <c r="H311" s="14">
        <v>1562622</v>
      </c>
    </row>
    <row r="312" spans="1:8" ht="30" customHeight="1">
      <c r="A312" s="7">
        <v>306</v>
      </c>
      <c r="B312" s="9" t="s">
        <v>186</v>
      </c>
      <c r="C312" s="9" t="s">
        <v>187</v>
      </c>
      <c r="D312" s="8">
        <v>33749</v>
      </c>
      <c r="E312" s="10" t="str">
        <f t="shared" si="8"/>
        <v>2級</v>
      </c>
      <c r="F312" s="10" t="str">
        <f t="shared" si="9"/>
        <v>除外</v>
      </c>
      <c r="G312" s="13" t="s">
        <v>1232</v>
      </c>
      <c r="H312" s="14">
        <v>1559910</v>
      </c>
    </row>
    <row r="313" spans="1:8" ht="30" customHeight="1">
      <c r="A313" s="7">
        <v>307</v>
      </c>
      <c r="B313" s="9" t="s">
        <v>1233</v>
      </c>
      <c r="C313" s="9" t="s">
        <v>758</v>
      </c>
      <c r="D313" s="8">
        <v>41283</v>
      </c>
      <c r="E313" s="10" t="str">
        <f t="shared" si="8"/>
        <v>2級</v>
      </c>
      <c r="F313" s="10" t="str">
        <f t="shared" si="9"/>
        <v>採用候補</v>
      </c>
      <c r="G313" s="13" t="s">
        <v>1234</v>
      </c>
      <c r="H313" s="14">
        <v>1558961</v>
      </c>
    </row>
    <row r="314" spans="1:8" ht="30" customHeight="1">
      <c r="A314" s="7">
        <v>308</v>
      </c>
      <c r="B314" s="9" t="s">
        <v>1235</v>
      </c>
      <c r="C314" s="9" t="s">
        <v>155</v>
      </c>
      <c r="D314" s="8">
        <v>40856</v>
      </c>
      <c r="E314" s="10" t="str">
        <f t="shared" si="8"/>
        <v>2級</v>
      </c>
      <c r="F314" s="10" t="str">
        <f t="shared" si="9"/>
        <v>採用候補</v>
      </c>
      <c r="G314" s="13" t="s">
        <v>1236</v>
      </c>
      <c r="H314" s="14">
        <v>1556443</v>
      </c>
    </row>
    <row r="315" spans="1:8" ht="30" customHeight="1">
      <c r="A315" s="7">
        <v>309</v>
      </c>
      <c r="B315" s="9" t="s">
        <v>188</v>
      </c>
      <c r="C315" s="9" t="s">
        <v>189</v>
      </c>
      <c r="D315" s="8">
        <v>38749</v>
      </c>
      <c r="E315" s="10" t="str">
        <f t="shared" si="8"/>
        <v>2級</v>
      </c>
      <c r="F315" s="10" t="str">
        <f t="shared" si="9"/>
        <v>除外</v>
      </c>
      <c r="G315" s="13" t="s">
        <v>1237</v>
      </c>
      <c r="H315" s="14">
        <v>1551905</v>
      </c>
    </row>
    <row r="316" spans="1:8" ht="30" customHeight="1">
      <c r="A316" s="7">
        <v>310</v>
      </c>
      <c r="B316" s="9" t="s">
        <v>1238</v>
      </c>
      <c r="C316" s="9" t="s">
        <v>682</v>
      </c>
      <c r="D316" s="8">
        <v>41570</v>
      </c>
      <c r="E316" s="10" t="str">
        <f t="shared" si="8"/>
        <v>2級</v>
      </c>
      <c r="F316" s="10" t="str">
        <f t="shared" si="9"/>
        <v>採用候補</v>
      </c>
      <c r="G316" s="13" t="s">
        <v>1239</v>
      </c>
      <c r="H316" s="14">
        <v>1544631</v>
      </c>
    </row>
    <row r="317" spans="1:8" ht="30" customHeight="1">
      <c r="A317" s="7">
        <v>311</v>
      </c>
      <c r="B317" s="9" t="s">
        <v>1240</v>
      </c>
      <c r="C317" s="9" t="s">
        <v>1241</v>
      </c>
      <c r="D317" s="8">
        <v>42347</v>
      </c>
      <c r="E317" s="10" t="str">
        <f t="shared" si="8"/>
        <v>2級</v>
      </c>
      <c r="F317" s="10" t="str">
        <f t="shared" si="9"/>
        <v>採用候補</v>
      </c>
      <c r="G317" s="13" t="s">
        <v>1242</v>
      </c>
      <c r="H317" s="14">
        <v>1541427</v>
      </c>
    </row>
    <row r="318" spans="1:8" ht="30" customHeight="1">
      <c r="A318" s="7">
        <v>312</v>
      </c>
      <c r="B318" s="9" t="s">
        <v>190</v>
      </c>
      <c r="C318" s="9" t="s">
        <v>148</v>
      </c>
      <c r="D318" s="8">
        <v>39393</v>
      </c>
      <c r="E318" s="10" t="str">
        <f t="shared" si="8"/>
        <v>2級</v>
      </c>
      <c r="F318" s="10" t="str">
        <f t="shared" si="9"/>
        <v>除外</v>
      </c>
      <c r="G318" s="13" t="s">
        <v>1243</v>
      </c>
      <c r="H318" s="14">
        <v>1541039</v>
      </c>
    </row>
    <row r="319" spans="1:8" ht="30" customHeight="1">
      <c r="A319" s="7">
        <v>313</v>
      </c>
      <c r="B319" s="9" t="s">
        <v>191</v>
      </c>
      <c r="C319" s="9" t="s">
        <v>192</v>
      </c>
      <c r="D319" s="8">
        <v>34493</v>
      </c>
      <c r="E319" s="10" t="str">
        <f t="shared" si="8"/>
        <v>2級</v>
      </c>
      <c r="F319" s="10" t="str">
        <f t="shared" si="9"/>
        <v>除外</v>
      </c>
      <c r="G319" s="13" t="s">
        <v>1244</v>
      </c>
      <c r="H319" s="14">
        <v>1539369</v>
      </c>
    </row>
    <row r="320" spans="1:8" ht="30" customHeight="1">
      <c r="A320" s="7">
        <v>314</v>
      </c>
      <c r="B320" s="9" t="s">
        <v>193</v>
      </c>
      <c r="C320" s="9" t="s">
        <v>65</v>
      </c>
      <c r="D320" s="8">
        <v>39470</v>
      </c>
      <c r="E320" s="10" t="str">
        <f t="shared" si="8"/>
        <v>2級</v>
      </c>
      <c r="F320" s="10" t="str">
        <f t="shared" si="9"/>
        <v>除外</v>
      </c>
      <c r="G320" s="13" t="s">
        <v>1245</v>
      </c>
      <c r="H320" s="14">
        <v>1539295</v>
      </c>
    </row>
    <row r="321" spans="1:8" ht="30" customHeight="1">
      <c r="A321" s="7">
        <v>315</v>
      </c>
      <c r="B321" s="9" t="s">
        <v>194</v>
      </c>
      <c r="C321" s="9" t="s">
        <v>195</v>
      </c>
      <c r="D321" s="8">
        <v>38497</v>
      </c>
      <c r="E321" s="10" t="str">
        <f t="shared" si="8"/>
        <v>2級</v>
      </c>
      <c r="F321" s="10" t="str">
        <f t="shared" si="9"/>
        <v>除外</v>
      </c>
      <c r="G321" s="13" t="s">
        <v>1246</v>
      </c>
      <c r="H321" s="14">
        <v>1534994</v>
      </c>
    </row>
    <row r="322" spans="1:8" ht="30" customHeight="1">
      <c r="A322" s="7">
        <v>316</v>
      </c>
      <c r="B322" s="9" t="s">
        <v>196</v>
      </c>
      <c r="C322" s="9" t="s">
        <v>29</v>
      </c>
      <c r="D322" s="8">
        <v>34432</v>
      </c>
      <c r="E322" s="10" t="str">
        <f t="shared" si="8"/>
        <v>2級</v>
      </c>
      <c r="F322" s="10" t="str">
        <f t="shared" si="9"/>
        <v>除外</v>
      </c>
      <c r="G322" s="13" t="s">
        <v>1247</v>
      </c>
      <c r="H322" s="14">
        <v>1533723</v>
      </c>
    </row>
    <row r="323" spans="1:8" ht="30" customHeight="1">
      <c r="A323" s="7">
        <v>317</v>
      </c>
      <c r="B323" s="9" t="s">
        <v>197</v>
      </c>
      <c r="C323" s="9" t="s">
        <v>131</v>
      </c>
      <c r="D323" s="8">
        <v>39043</v>
      </c>
      <c r="E323" s="10" t="str">
        <f t="shared" si="8"/>
        <v>2級</v>
      </c>
      <c r="F323" s="10" t="str">
        <f t="shared" si="9"/>
        <v>除外</v>
      </c>
      <c r="G323" s="13" t="s">
        <v>1248</v>
      </c>
      <c r="H323" s="14">
        <v>1529286</v>
      </c>
    </row>
    <row r="324" spans="1:8" ht="30" customHeight="1">
      <c r="A324" s="7">
        <v>318</v>
      </c>
      <c r="B324" s="9" t="s">
        <v>1249</v>
      </c>
      <c r="C324" s="9" t="s">
        <v>1250</v>
      </c>
      <c r="D324" s="8">
        <v>44433</v>
      </c>
      <c r="E324" s="10" t="str">
        <f t="shared" si="8"/>
        <v>2級</v>
      </c>
      <c r="F324" s="10" t="str">
        <f t="shared" si="9"/>
        <v>採用候補</v>
      </c>
      <c r="G324" s="13" t="s">
        <v>1251</v>
      </c>
      <c r="H324" s="14">
        <v>1529182</v>
      </c>
    </row>
    <row r="325" spans="1:8" ht="30" customHeight="1">
      <c r="A325" s="7">
        <v>319</v>
      </c>
      <c r="B325" s="9" t="s">
        <v>1252</v>
      </c>
      <c r="C325" s="9" t="s">
        <v>1253</v>
      </c>
      <c r="D325" s="8">
        <v>43376</v>
      </c>
      <c r="E325" s="10" t="str">
        <f t="shared" si="8"/>
        <v>2級</v>
      </c>
      <c r="F325" s="10" t="str">
        <f t="shared" si="9"/>
        <v>採用候補</v>
      </c>
      <c r="G325" s="13" t="s">
        <v>1254</v>
      </c>
      <c r="H325" s="14">
        <v>1520854</v>
      </c>
    </row>
    <row r="326" spans="1:8" ht="30" customHeight="1">
      <c r="A326" s="7">
        <v>320</v>
      </c>
      <c r="B326" s="9" t="s">
        <v>1255</v>
      </c>
      <c r="C326" s="9" t="s">
        <v>755</v>
      </c>
      <c r="D326" s="8">
        <v>44783</v>
      </c>
      <c r="E326" s="10" t="str">
        <f t="shared" si="8"/>
        <v>2級</v>
      </c>
      <c r="F326" s="10" t="str">
        <f t="shared" si="9"/>
        <v>採用候補</v>
      </c>
      <c r="G326" s="13" t="s">
        <v>1256</v>
      </c>
      <c r="H326" s="14">
        <v>1520766</v>
      </c>
    </row>
    <row r="327" spans="1:8" ht="30" customHeight="1">
      <c r="A327" s="7">
        <v>321</v>
      </c>
      <c r="B327" s="9" t="s">
        <v>1257</v>
      </c>
      <c r="C327" s="9" t="s">
        <v>679</v>
      </c>
      <c r="D327" s="8">
        <v>42690</v>
      </c>
      <c r="E327" s="10" t="str">
        <f t="shared" ref="E327:E390" si="10">CHOOSE(INT((A327-1)/100)+1,"5級","4級","3級","2級","1級","初段","二段","三段","四段","五段")</f>
        <v>2級</v>
      </c>
      <c r="F327" s="10" t="str">
        <f t="shared" ref="F327:F390" si="11">IF(D327&gt;=DATE(2010,1,1),"採用候補","除外")</f>
        <v>採用候補</v>
      </c>
      <c r="G327" s="13" t="s">
        <v>1258</v>
      </c>
      <c r="H327" s="14">
        <v>1519337</v>
      </c>
    </row>
    <row r="328" spans="1:8" ht="30" customHeight="1">
      <c r="A328" s="7">
        <v>322</v>
      </c>
      <c r="B328" s="9" t="s">
        <v>1259</v>
      </c>
      <c r="C328" s="9" t="s">
        <v>1260</v>
      </c>
      <c r="D328" s="8">
        <v>42914</v>
      </c>
      <c r="E328" s="10" t="str">
        <f t="shared" si="10"/>
        <v>2級</v>
      </c>
      <c r="F328" s="10" t="str">
        <f t="shared" si="11"/>
        <v>採用候補</v>
      </c>
      <c r="G328" s="13" t="s">
        <v>1261</v>
      </c>
      <c r="H328" s="14">
        <v>1519147</v>
      </c>
    </row>
    <row r="329" spans="1:8" ht="30" customHeight="1">
      <c r="A329" s="7">
        <v>323</v>
      </c>
      <c r="B329" s="9" t="s">
        <v>1262</v>
      </c>
      <c r="C329" s="9" t="s">
        <v>1250</v>
      </c>
      <c r="D329" s="8">
        <v>42879</v>
      </c>
      <c r="E329" s="10" t="str">
        <f t="shared" si="10"/>
        <v>2級</v>
      </c>
      <c r="F329" s="10" t="str">
        <f t="shared" si="11"/>
        <v>採用候補</v>
      </c>
      <c r="G329" s="13" t="s">
        <v>1263</v>
      </c>
      <c r="H329" s="14">
        <v>1513222</v>
      </c>
    </row>
    <row r="330" spans="1:8" ht="30" customHeight="1">
      <c r="A330" s="7">
        <v>324</v>
      </c>
      <c r="B330" s="9" t="s">
        <v>198</v>
      </c>
      <c r="C330" s="9" t="s">
        <v>199</v>
      </c>
      <c r="D330" s="8">
        <v>33208</v>
      </c>
      <c r="E330" s="10" t="str">
        <f t="shared" si="10"/>
        <v>2級</v>
      </c>
      <c r="F330" s="10" t="str">
        <f t="shared" si="11"/>
        <v>除外</v>
      </c>
      <c r="G330" s="13" t="s">
        <v>1264</v>
      </c>
      <c r="H330" s="14">
        <v>1509652</v>
      </c>
    </row>
    <row r="331" spans="1:8" ht="30" customHeight="1">
      <c r="A331" s="7">
        <v>325</v>
      </c>
      <c r="B331" s="9" t="s">
        <v>200</v>
      </c>
      <c r="C331" s="9" t="s">
        <v>54</v>
      </c>
      <c r="D331" s="8">
        <v>40002</v>
      </c>
      <c r="E331" s="10" t="str">
        <f t="shared" si="10"/>
        <v>2級</v>
      </c>
      <c r="F331" s="10" t="str">
        <f t="shared" si="11"/>
        <v>除外</v>
      </c>
      <c r="G331" s="13" t="s">
        <v>1265</v>
      </c>
      <c r="H331" s="14">
        <v>1507499</v>
      </c>
    </row>
    <row r="332" spans="1:8" ht="30" customHeight="1">
      <c r="A332" s="7">
        <v>326</v>
      </c>
      <c r="B332" s="9" t="s">
        <v>1266</v>
      </c>
      <c r="C332" s="9" t="s">
        <v>1267</v>
      </c>
      <c r="D332" s="8">
        <v>44680</v>
      </c>
      <c r="E332" s="10" t="str">
        <f t="shared" si="10"/>
        <v>2級</v>
      </c>
      <c r="F332" s="10" t="str">
        <f t="shared" si="11"/>
        <v>採用候補</v>
      </c>
      <c r="G332" s="13" t="s">
        <v>1268</v>
      </c>
      <c r="H332" s="14">
        <v>1507352</v>
      </c>
    </row>
    <row r="333" spans="1:8" ht="30" customHeight="1">
      <c r="A333" s="7">
        <v>327</v>
      </c>
      <c r="B333" s="9" t="s">
        <v>201</v>
      </c>
      <c r="C333" s="9" t="s">
        <v>29</v>
      </c>
      <c r="D333" s="8">
        <v>38203</v>
      </c>
      <c r="E333" s="10" t="str">
        <f t="shared" si="10"/>
        <v>2級</v>
      </c>
      <c r="F333" s="10" t="str">
        <f t="shared" si="11"/>
        <v>除外</v>
      </c>
      <c r="G333" s="13" t="s">
        <v>1269</v>
      </c>
      <c r="H333" s="14">
        <v>1507064</v>
      </c>
    </row>
    <row r="334" spans="1:8" ht="30" customHeight="1">
      <c r="A334" s="7">
        <v>328</v>
      </c>
      <c r="B334" s="9" t="s">
        <v>1270</v>
      </c>
      <c r="C334" s="9" t="s">
        <v>780</v>
      </c>
      <c r="D334" s="8">
        <v>42221</v>
      </c>
      <c r="E334" s="10" t="str">
        <f t="shared" si="10"/>
        <v>2級</v>
      </c>
      <c r="F334" s="10" t="str">
        <f t="shared" si="11"/>
        <v>採用候補</v>
      </c>
      <c r="G334" s="13" t="s">
        <v>1271</v>
      </c>
      <c r="H334" s="14">
        <v>1506891</v>
      </c>
    </row>
    <row r="335" spans="1:8" ht="30" customHeight="1">
      <c r="A335" s="7">
        <v>329</v>
      </c>
      <c r="B335" s="9" t="s">
        <v>202</v>
      </c>
      <c r="C335" s="9" t="s">
        <v>203</v>
      </c>
      <c r="D335" s="8">
        <v>39946</v>
      </c>
      <c r="E335" s="10" t="str">
        <f t="shared" si="10"/>
        <v>2級</v>
      </c>
      <c r="F335" s="10" t="str">
        <f t="shared" si="11"/>
        <v>除外</v>
      </c>
      <c r="G335" s="13" t="s">
        <v>1272</v>
      </c>
      <c r="H335" s="14">
        <v>1505962</v>
      </c>
    </row>
    <row r="336" spans="1:8" ht="30" customHeight="1">
      <c r="A336" s="7">
        <v>330</v>
      </c>
      <c r="B336" s="9" t="s">
        <v>204</v>
      </c>
      <c r="C336" s="9" t="s">
        <v>47</v>
      </c>
      <c r="D336" s="8">
        <v>39057</v>
      </c>
      <c r="E336" s="10" t="str">
        <f t="shared" si="10"/>
        <v>2級</v>
      </c>
      <c r="F336" s="10" t="str">
        <f t="shared" si="11"/>
        <v>除外</v>
      </c>
      <c r="G336" s="13" t="s">
        <v>1273</v>
      </c>
      <c r="H336" s="14">
        <v>1500634</v>
      </c>
    </row>
    <row r="337" spans="1:8" ht="30" customHeight="1">
      <c r="A337" s="7">
        <v>331</v>
      </c>
      <c r="B337" s="9" t="s">
        <v>205</v>
      </c>
      <c r="C337" s="9" t="s">
        <v>29</v>
      </c>
      <c r="D337" s="8">
        <v>33508</v>
      </c>
      <c r="E337" s="10" t="str">
        <f t="shared" si="10"/>
        <v>2級</v>
      </c>
      <c r="F337" s="10" t="str">
        <f t="shared" si="11"/>
        <v>除外</v>
      </c>
      <c r="G337" s="13" t="s">
        <v>1274</v>
      </c>
      <c r="H337" s="14">
        <v>1498401</v>
      </c>
    </row>
    <row r="338" spans="1:8" ht="30" customHeight="1">
      <c r="A338" s="7">
        <v>332</v>
      </c>
      <c r="B338" s="9" t="s">
        <v>1275</v>
      </c>
      <c r="C338" s="9" t="s">
        <v>1007</v>
      </c>
      <c r="D338" s="8">
        <v>42403</v>
      </c>
      <c r="E338" s="10" t="str">
        <f t="shared" si="10"/>
        <v>2級</v>
      </c>
      <c r="F338" s="10" t="str">
        <f t="shared" si="11"/>
        <v>採用候補</v>
      </c>
      <c r="G338" s="13" t="s">
        <v>1276</v>
      </c>
      <c r="H338" s="14">
        <v>1495703</v>
      </c>
    </row>
    <row r="339" spans="1:8" ht="30" customHeight="1">
      <c r="A339" s="7">
        <v>333</v>
      </c>
      <c r="B339" s="9" t="s">
        <v>206</v>
      </c>
      <c r="C339" s="9" t="s">
        <v>153</v>
      </c>
      <c r="D339" s="8">
        <v>35942</v>
      </c>
      <c r="E339" s="10" t="str">
        <f t="shared" si="10"/>
        <v>2級</v>
      </c>
      <c r="F339" s="10" t="str">
        <f t="shared" si="11"/>
        <v>除外</v>
      </c>
      <c r="G339" s="13" t="s">
        <v>1277</v>
      </c>
      <c r="H339" s="14">
        <v>1489010</v>
      </c>
    </row>
    <row r="340" spans="1:8" ht="30" customHeight="1">
      <c r="A340" s="7">
        <v>334</v>
      </c>
      <c r="B340" s="9" t="s">
        <v>1278</v>
      </c>
      <c r="C340" s="9" t="s">
        <v>1025</v>
      </c>
      <c r="D340" s="8">
        <v>43943</v>
      </c>
      <c r="E340" s="10" t="str">
        <f t="shared" si="10"/>
        <v>2級</v>
      </c>
      <c r="F340" s="10" t="str">
        <f t="shared" si="11"/>
        <v>採用候補</v>
      </c>
      <c r="G340" s="13" t="s">
        <v>1279</v>
      </c>
      <c r="H340" s="14">
        <v>1488758</v>
      </c>
    </row>
    <row r="341" spans="1:8" ht="30" customHeight="1">
      <c r="A341" s="7">
        <v>335</v>
      </c>
      <c r="B341" s="9" t="s">
        <v>207</v>
      </c>
      <c r="C341" s="9" t="s">
        <v>21</v>
      </c>
      <c r="D341" s="8">
        <v>36999</v>
      </c>
      <c r="E341" s="10" t="str">
        <f t="shared" si="10"/>
        <v>2級</v>
      </c>
      <c r="F341" s="10" t="str">
        <f t="shared" si="11"/>
        <v>除外</v>
      </c>
      <c r="G341" s="13" t="s">
        <v>1280</v>
      </c>
      <c r="H341" s="14">
        <v>1488608</v>
      </c>
    </row>
    <row r="342" spans="1:8" ht="30" customHeight="1">
      <c r="A342" s="7">
        <v>336</v>
      </c>
      <c r="B342" s="9" t="s">
        <v>208</v>
      </c>
      <c r="C342" s="9" t="s">
        <v>209</v>
      </c>
      <c r="D342" s="8">
        <v>39148</v>
      </c>
      <c r="E342" s="10" t="str">
        <f t="shared" si="10"/>
        <v>2級</v>
      </c>
      <c r="F342" s="10" t="str">
        <f t="shared" si="11"/>
        <v>除外</v>
      </c>
      <c r="G342" s="13" t="s">
        <v>1281</v>
      </c>
      <c r="H342" s="14">
        <v>1485538</v>
      </c>
    </row>
    <row r="343" spans="1:8" ht="30" customHeight="1">
      <c r="A343" s="7">
        <v>337</v>
      </c>
      <c r="B343" s="9" t="s">
        <v>1282</v>
      </c>
      <c r="C343" s="9" t="s">
        <v>1283</v>
      </c>
      <c r="D343" s="8">
        <v>43306</v>
      </c>
      <c r="E343" s="10" t="str">
        <f t="shared" si="10"/>
        <v>2級</v>
      </c>
      <c r="F343" s="10" t="str">
        <f t="shared" si="11"/>
        <v>採用候補</v>
      </c>
      <c r="G343" s="13" t="s">
        <v>1284</v>
      </c>
      <c r="H343" s="14">
        <v>1481221</v>
      </c>
    </row>
    <row r="344" spans="1:8" ht="30" customHeight="1">
      <c r="A344" s="7">
        <v>338</v>
      </c>
      <c r="B344" s="9" t="s">
        <v>112</v>
      </c>
      <c r="C344" s="9" t="s">
        <v>45</v>
      </c>
      <c r="D344" s="8">
        <v>39876</v>
      </c>
      <c r="E344" s="10" t="str">
        <f t="shared" si="10"/>
        <v>2級</v>
      </c>
      <c r="F344" s="10" t="str">
        <f t="shared" si="11"/>
        <v>除外</v>
      </c>
      <c r="G344" s="13" t="s">
        <v>1285</v>
      </c>
      <c r="H344" s="14">
        <v>1478998</v>
      </c>
    </row>
    <row r="345" spans="1:8" ht="30" customHeight="1">
      <c r="A345" s="7">
        <v>339</v>
      </c>
      <c r="B345" s="9" t="s">
        <v>210</v>
      </c>
      <c r="C345" s="9" t="s">
        <v>45</v>
      </c>
      <c r="D345" s="8">
        <v>39680</v>
      </c>
      <c r="E345" s="10" t="str">
        <f t="shared" si="10"/>
        <v>2級</v>
      </c>
      <c r="F345" s="10" t="str">
        <f t="shared" si="11"/>
        <v>除外</v>
      </c>
      <c r="G345" s="13" t="s">
        <v>1286</v>
      </c>
      <c r="H345" s="14">
        <v>1478787</v>
      </c>
    </row>
    <row r="346" spans="1:8" ht="30" customHeight="1">
      <c r="A346" s="7">
        <v>340</v>
      </c>
      <c r="B346" s="9" t="s">
        <v>1287</v>
      </c>
      <c r="C346" s="9" t="s">
        <v>1288</v>
      </c>
      <c r="D346" s="8">
        <v>42529</v>
      </c>
      <c r="E346" s="10" t="str">
        <f t="shared" si="10"/>
        <v>2級</v>
      </c>
      <c r="F346" s="10" t="str">
        <f t="shared" si="11"/>
        <v>採用候補</v>
      </c>
      <c r="G346" s="13" t="s">
        <v>1289</v>
      </c>
      <c r="H346" s="14">
        <v>1478703</v>
      </c>
    </row>
    <row r="347" spans="1:8" ht="30" customHeight="1">
      <c r="A347" s="7">
        <v>341</v>
      </c>
      <c r="B347" s="9" t="s">
        <v>211</v>
      </c>
      <c r="C347" s="9" t="s">
        <v>119</v>
      </c>
      <c r="D347" s="8">
        <v>39764</v>
      </c>
      <c r="E347" s="10" t="str">
        <f t="shared" si="10"/>
        <v>2級</v>
      </c>
      <c r="F347" s="10" t="str">
        <f t="shared" si="11"/>
        <v>除外</v>
      </c>
      <c r="G347" s="13" t="s">
        <v>1290</v>
      </c>
      <c r="H347" s="14">
        <v>1477572</v>
      </c>
    </row>
    <row r="348" spans="1:8" ht="30" customHeight="1">
      <c r="A348" s="7">
        <v>342</v>
      </c>
      <c r="B348" s="9" t="s">
        <v>1291</v>
      </c>
      <c r="C348" s="9" t="s">
        <v>679</v>
      </c>
      <c r="D348" s="8">
        <v>41717</v>
      </c>
      <c r="E348" s="10" t="str">
        <f t="shared" si="10"/>
        <v>2級</v>
      </c>
      <c r="F348" s="10" t="str">
        <f t="shared" si="11"/>
        <v>採用候補</v>
      </c>
      <c r="G348" s="13" t="s">
        <v>1292</v>
      </c>
      <c r="H348" s="14">
        <v>1477547</v>
      </c>
    </row>
    <row r="349" spans="1:8" ht="42" customHeight="1">
      <c r="A349" s="7">
        <v>343</v>
      </c>
      <c r="B349" s="9" t="s">
        <v>1293</v>
      </c>
      <c r="C349" s="9" t="s">
        <v>1294</v>
      </c>
      <c r="D349" s="8">
        <v>42144</v>
      </c>
      <c r="E349" s="10" t="str">
        <f t="shared" si="10"/>
        <v>2級</v>
      </c>
      <c r="F349" s="10" t="str">
        <f t="shared" si="11"/>
        <v>採用候補</v>
      </c>
      <c r="G349" s="13" t="s">
        <v>1295</v>
      </c>
      <c r="H349" s="14">
        <v>1476750</v>
      </c>
    </row>
    <row r="350" spans="1:8" ht="30" customHeight="1">
      <c r="A350" s="7">
        <v>344</v>
      </c>
      <c r="B350" s="9" t="s">
        <v>1296</v>
      </c>
      <c r="C350" s="9" t="s">
        <v>393</v>
      </c>
      <c r="D350" s="8">
        <v>42578</v>
      </c>
      <c r="E350" s="10" t="str">
        <f t="shared" si="10"/>
        <v>2級</v>
      </c>
      <c r="F350" s="10" t="str">
        <f t="shared" si="11"/>
        <v>採用候補</v>
      </c>
      <c r="G350" s="13" t="s">
        <v>1297</v>
      </c>
      <c r="H350" s="14">
        <v>1474665</v>
      </c>
    </row>
    <row r="351" spans="1:8" ht="30" customHeight="1">
      <c r="A351" s="7">
        <v>345</v>
      </c>
      <c r="B351" s="9" t="s">
        <v>212</v>
      </c>
      <c r="C351" s="9" t="s">
        <v>19</v>
      </c>
      <c r="D351" s="8">
        <v>39659</v>
      </c>
      <c r="E351" s="10" t="str">
        <f t="shared" si="10"/>
        <v>2級</v>
      </c>
      <c r="F351" s="10" t="str">
        <f t="shared" si="11"/>
        <v>除外</v>
      </c>
      <c r="G351" s="13" t="s">
        <v>1298</v>
      </c>
      <c r="H351" s="14">
        <v>1473964</v>
      </c>
    </row>
    <row r="352" spans="1:8" ht="30" customHeight="1">
      <c r="A352" s="7">
        <v>346</v>
      </c>
      <c r="B352" s="9" t="s">
        <v>213</v>
      </c>
      <c r="C352" s="9" t="s">
        <v>214</v>
      </c>
      <c r="D352" s="8">
        <v>32852</v>
      </c>
      <c r="E352" s="10" t="str">
        <f t="shared" si="10"/>
        <v>2級</v>
      </c>
      <c r="F352" s="10" t="str">
        <f t="shared" si="11"/>
        <v>除外</v>
      </c>
      <c r="G352" s="13" t="s">
        <v>1299</v>
      </c>
      <c r="H352" s="14">
        <v>1473778</v>
      </c>
    </row>
    <row r="353" spans="1:8" ht="30" customHeight="1">
      <c r="A353" s="7">
        <v>347</v>
      </c>
      <c r="B353" s="9" t="s">
        <v>215</v>
      </c>
      <c r="C353" s="9" t="s">
        <v>216</v>
      </c>
      <c r="D353" s="8">
        <v>40002</v>
      </c>
      <c r="E353" s="10" t="str">
        <f t="shared" si="10"/>
        <v>2級</v>
      </c>
      <c r="F353" s="10" t="str">
        <f t="shared" si="11"/>
        <v>除外</v>
      </c>
      <c r="G353" s="13" t="s">
        <v>1300</v>
      </c>
      <c r="H353" s="14">
        <v>1471836</v>
      </c>
    </row>
    <row r="354" spans="1:8" ht="30" customHeight="1">
      <c r="A354" s="7">
        <v>348</v>
      </c>
      <c r="B354" s="9" t="s">
        <v>1301</v>
      </c>
      <c r="C354" s="9" t="s">
        <v>682</v>
      </c>
      <c r="D354" s="8">
        <v>45677</v>
      </c>
      <c r="E354" s="10" t="str">
        <f t="shared" si="10"/>
        <v>2級</v>
      </c>
      <c r="F354" s="10" t="str">
        <f t="shared" si="11"/>
        <v>採用候補</v>
      </c>
      <c r="G354" s="13" t="s">
        <v>1302</v>
      </c>
      <c r="H354" s="14">
        <v>1470086</v>
      </c>
    </row>
    <row r="355" spans="1:8" ht="30" customHeight="1">
      <c r="A355" s="7">
        <v>349</v>
      </c>
      <c r="B355" s="9" t="s">
        <v>217</v>
      </c>
      <c r="C355" s="9" t="s">
        <v>218</v>
      </c>
      <c r="D355" s="8">
        <v>33198</v>
      </c>
      <c r="E355" s="10" t="str">
        <f t="shared" si="10"/>
        <v>2級</v>
      </c>
      <c r="F355" s="10" t="str">
        <f t="shared" si="11"/>
        <v>除外</v>
      </c>
      <c r="G355" s="13" t="s">
        <v>1303</v>
      </c>
      <c r="H355" s="14">
        <v>1469649</v>
      </c>
    </row>
    <row r="356" spans="1:8" ht="30" customHeight="1">
      <c r="A356" s="7">
        <v>350</v>
      </c>
      <c r="B356" s="9" t="s">
        <v>219</v>
      </c>
      <c r="C356" s="9" t="s">
        <v>220</v>
      </c>
      <c r="D356" s="8">
        <v>38371</v>
      </c>
      <c r="E356" s="10" t="str">
        <f t="shared" si="10"/>
        <v>2級</v>
      </c>
      <c r="F356" s="10" t="str">
        <f t="shared" si="11"/>
        <v>除外</v>
      </c>
      <c r="G356" s="13" t="s">
        <v>1304</v>
      </c>
      <c r="H356" s="14">
        <v>1468763</v>
      </c>
    </row>
    <row r="357" spans="1:8" ht="30" customHeight="1">
      <c r="A357" s="7">
        <v>351</v>
      </c>
      <c r="B357" s="9" t="s">
        <v>221</v>
      </c>
      <c r="C357" s="9" t="s">
        <v>222</v>
      </c>
      <c r="D357" s="8">
        <v>38798</v>
      </c>
      <c r="E357" s="10" t="str">
        <f t="shared" si="10"/>
        <v>2級</v>
      </c>
      <c r="F357" s="10" t="str">
        <f t="shared" si="11"/>
        <v>除外</v>
      </c>
      <c r="G357" s="13" t="s">
        <v>1305</v>
      </c>
      <c r="H357" s="14">
        <v>1467717</v>
      </c>
    </row>
    <row r="358" spans="1:8" ht="30" customHeight="1">
      <c r="A358" s="7">
        <v>352</v>
      </c>
      <c r="B358" s="9" t="s">
        <v>223</v>
      </c>
      <c r="C358" s="9" t="s">
        <v>27</v>
      </c>
      <c r="D358" s="8">
        <v>38196</v>
      </c>
      <c r="E358" s="10" t="str">
        <f t="shared" si="10"/>
        <v>2級</v>
      </c>
      <c r="F358" s="10" t="str">
        <f t="shared" si="11"/>
        <v>除外</v>
      </c>
      <c r="G358" s="13" t="s">
        <v>1306</v>
      </c>
      <c r="H358" s="14">
        <v>1467523</v>
      </c>
    </row>
    <row r="359" spans="1:8" ht="30" customHeight="1">
      <c r="A359" s="7">
        <v>353</v>
      </c>
      <c r="B359" s="9" t="s">
        <v>1307</v>
      </c>
      <c r="C359" s="9" t="s">
        <v>1308</v>
      </c>
      <c r="D359" s="8">
        <v>44160</v>
      </c>
      <c r="E359" s="10" t="str">
        <f t="shared" si="10"/>
        <v>2級</v>
      </c>
      <c r="F359" s="10" t="str">
        <f t="shared" si="11"/>
        <v>採用候補</v>
      </c>
      <c r="G359" s="13" t="s">
        <v>1309</v>
      </c>
      <c r="H359" s="14">
        <v>1465735</v>
      </c>
    </row>
    <row r="360" spans="1:8" ht="30" customHeight="1">
      <c r="A360" s="7">
        <v>354</v>
      </c>
      <c r="B360" s="9" t="s">
        <v>224</v>
      </c>
      <c r="C360" s="9" t="s">
        <v>21</v>
      </c>
      <c r="D360" s="8">
        <v>36726</v>
      </c>
      <c r="E360" s="10" t="str">
        <f t="shared" si="10"/>
        <v>2級</v>
      </c>
      <c r="F360" s="10" t="str">
        <f t="shared" si="11"/>
        <v>除外</v>
      </c>
      <c r="G360" s="13" t="s">
        <v>1310</v>
      </c>
      <c r="H360" s="14">
        <v>1464108</v>
      </c>
    </row>
    <row r="361" spans="1:8" ht="30" customHeight="1">
      <c r="A361" s="7">
        <v>355</v>
      </c>
      <c r="B361" s="9" t="s">
        <v>1311</v>
      </c>
      <c r="C361" s="9" t="s">
        <v>693</v>
      </c>
      <c r="D361" s="8">
        <v>43201</v>
      </c>
      <c r="E361" s="10" t="str">
        <f t="shared" si="10"/>
        <v>2級</v>
      </c>
      <c r="F361" s="10" t="str">
        <f t="shared" si="11"/>
        <v>採用候補</v>
      </c>
      <c r="G361" s="13" t="s">
        <v>1312</v>
      </c>
      <c r="H361" s="14">
        <v>1463245</v>
      </c>
    </row>
    <row r="362" spans="1:8" ht="30" customHeight="1">
      <c r="A362" s="7">
        <v>356</v>
      </c>
      <c r="B362" s="9" t="s">
        <v>1313</v>
      </c>
      <c r="C362" s="9" t="s">
        <v>777</v>
      </c>
      <c r="D362" s="8">
        <v>40744</v>
      </c>
      <c r="E362" s="10" t="str">
        <f t="shared" si="10"/>
        <v>2級</v>
      </c>
      <c r="F362" s="10" t="str">
        <f t="shared" si="11"/>
        <v>採用候補</v>
      </c>
      <c r="G362" s="13" t="s">
        <v>1314</v>
      </c>
      <c r="H362" s="14">
        <v>1462292</v>
      </c>
    </row>
    <row r="363" spans="1:8" ht="30" customHeight="1">
      <c r="A363" s="7">
        <v>357</v>
      </c>
      <c r="B363" s="9" t="s">
        <v>225</v>
      </c>
      <c r="C363" s="9" t="s">
        <v>29</v>
      </c>
      <c r="D363" s="8">
        <v>38770</v>
      </c>
      <c r="E363" s="10" t="str">
        <f t="shared" si="10"/>
        <v>2級</v>
      </c>
      <c r="F363" s="10" t="str">
        <f t="shared" si="11"/>
        <v>除外</v>
      </c>
      <c r="G363" s="13" t="s">
        <v>1315</v>
      </c>
      <c r="H363" s="14">
        <v>1461485</v>
      </c>
    </row>
    <row r="364" spans="1:8" ht="30" customHeight="1">
      <c r="A364" s="7">
        <v>358</v>
      </c>
      <c r="B364" s="9" t="s">
        <v>226</v>
      </c>
      <c r="C364" s="9" t="s">
        <v>227</v>
      </c>
      <c r="D364" s="8">
        <v>33373</v>
      </c>
      <c r="E364" s="10" t="str">
        <f t="shared" si="10"/>
        <v>2級</v>
      </c>
      <c r="F364" s="10" t="str">
        <f t="shared" si="11"/>
        <v>除外</v>
      </c>
      <c r="G364" s="13" t="s">
        <v>1316</v>
      </c>
      <c r="H364" s="14">
        <v>1459506</v>
      </c>
    </row>
    <row r="365" spans="1:8" ht="30" customHeight="1">
      <c r="A365" s="7">
        <v>359</v>
      </c>
      <c r="B365" s="9" t="s">
        <v>1317</v>
      </c>
      <c r="C365" s="9" t="s">
        <v>755</v>
      </c>
      <c r="D365" s="8">
        <v>44783</v>
      </c>
      <c r="E365" s="10" t="str">
        <f t="shared" si="10"/>
        <v>2級</v>
      </c>
      <c r="F365" s="10" t="str">
        <f t="shared" si="11"/>
        <v>採用候補</v>
      </c>
      <c r="G365" s="13" t="s">
        <v>1318</v>
      </c>
      <c r="H365" s="14">
        <v>1459237</v>
      </c>
    </row>
    <row r="366" spans="1:8" ht="30" customHeight="1">
      <c r="A366" s="7">
        <v>360</v>
      </c>
      <c r="B366" s="9" t="s">
        <v>228</v>
      </c>
      <c r="C366" s="9" t="s">
        <v>229</v>
      </c>
      <c r="D366" s="8">
        <v>38875</v>
      </c>
      <c r="E366" s="10" t="str">
        <f t="shared" si="10"/>
        <v>2級</v>
      </c>
      <c r="F366" s="10" t="str">
        <f t="shared" si="11"/>
        <v>除外</v>
      </c>
      <c r="G366" s="13" t="s">
        <v>1319</v>
      </c>
      <c r="H366" s="14">
        <v>1457671</v>
      </c>
    </row>
    <row r="367" spans="1:8" ht="30" customHeight="1">
      <c r="A367" s="7">
        <v>361</v>
      </c>
      <c r="B367" s="9" t="s">
        <v>1320</v>
      </c>
      <c r="C367" s="9" t="s">
        <v>155</v>
      </c>
      <c r="D367" s="8">
        <v>41493</v>
      </c>
      <c r="E367" s="10" t="str">
        <f t="shared" si="10"/>
        <v>2級</v>
      </c>
      <c r="F367" s="10" t="str">
        <f t="shared" si="11"/>
        <v>採用候補</v>
      </c>
      <c r="G367" s="13" t="s">
        <v>1321</v>
      </c>
      <c r="H367" s="14">
        <v>1450524</v>
      </c>
    </row>
    <row r="368" spans="1:8" ht="30" customHeight="1">
      <c r="A368" s="7">
        <v>362</v>
      </c>
      <c r="B368" s="9" t="s">
        <v>230</v>
      </c>
      <c r="C368" s="9" t="s">
        <v>86</v>
      </c>
      <c r="D368" s="8">
        <v>36376</v>
      </c>
      <c r="E368" s="10" t="str">
        <f t="shared" si="10"/>
        <v>2級</v>
      </c>
      <c r="F368" s="10" t="str">
        <f t="shared" si="11"/>
        <v>除外</v>
      </c>
      <c r="G368" s="13" t="s">
        <v>1322</v>
      </c>
      <c r="H368" s="14">
        <v>1449669</v>
      </c>
    </row>
    <row r="369" spans="1:8" ht="30" customHeight="1">
      <c r="A369" s="7">
        <v>363</v>
      </c>
      <c r="B369" s="9" t="s">
        <v>231</v>
      </c>
      <c r="C369" s="9" t="s">
        <v>45</v>
      </c>
      <c r="D369" s="8">
        <v>40044</v>
      </c>
      <c r="E369" s="10" t="str">
        <f t="shared" si="10"/>
        <v>2級</v>
      </c>
      <c r="F369" s="10" t="str">
        <f t="shared" si="11"/>
        <v>除外</v>
      </c>
      <c r="G369" s="13" t="s">
        <v>1323</v>
      </c>
      <c r="H369" s="14">
        <v>1449202</v>
      </c>
    </row>
    <row r="370" spans="1:8" ht="30" customHeight="1">
      <c r="A370" s="7">
        <v>364</v>
      </c>
      <c r="B370" s="9" t="s">
        <v>232</v>
      </c>
      <c r="C370" s="9" t="s">
        <v>233</v>
      </c>
      <c r="D370" s="8">
        <v>34514</v>
      </c>
      <c r="E370" s="10" t="str">
        <f t="shared" si="10"/>
        <v>2級</v>
      </c>
      <c r="F370" s="10" t="str">
        <f t="shared" si="11"/>
        <v>除外</v>
      </c>
      <c r="G370" s="13" t="s">
        <v>1324</v>
      </c>
      <c r="H370" s="14">
        <v>1447140</v>
      </c>
    </row>
    <row r="371" spans="1:8" ht="30" customHeight="1">
      <c r="A371" s="7">
        <v>365</v>
      </c>
      <c r="B371" s="9" t="s">
        <v>1325</v>
      </c>
      <c r="C371" s="9" t="s">
        <v>1326</v>
      </c>
      <c r="D371" s="8">
        <v>41724</v>
      </c>
      <c r="E371" s="10" t="str">
        <f t="shared" si="10"/>
        <v>2級</v>
      </c>
      <c r="F371" s="10" t="str">
        <f t="shared" si="11"/>
        <v>採用候補</v>
      </c>
      <c r="G371" s="13" t="s">
        <v>1327</v>
      </c>
      <c r="H371" s="14">
        <v>1445796</v>
      </c>
    </row>
    <row r="372" spans="1:8" ht="30" customHeight="1">
      <c r="A372" s="7">
        <v>366</v>
      </c>
      <c r="B372" s="9" t="s">
        <v>1328</v>
      </c>
      <c r="C372" s="9" t="s">
        <v>828</v>
      </c>
      <c r="D372" s="8">
        <v>42151</v>
      </c>
      <c r="E372" s="10" t="str">
        <f t="shared" si="10"/>
        <v>2級</v>
      </c>
      <c r="F372" s="10" t="str">
        <f t="shared" si="11"/>
        <v>採用候補</v>
      </c>
      <c r="G372" s="13" t="s">
        <v>1329</v>
      </c>
      <c r="H372" s="14">
        <v>1442439</v>
      </c>
    </row>
    <row r="373" spans="1:8" ht="30" customHeight="1">
      <c r="A373" s="7">
        <v>367</v>
      </c>
      <c r="B373" s="9" t="s">
        <v>1330</v>
      </c>
      <c r="C373" s="9" t="s">
        <v>708</v>
      </c>
      <c r="D373" s="8">
        <v>45198</v>
      </c>
      <c r="E373" s="10" t="str">
        <f t="shared" si="10"/>
        <v>2級</v>
      </c>
      <c r="F373" s="10" t="str">
        <f t="shared" si="11"/>
        <v>採用候補</v>
      </c>
      <c r="G373" s="13" t="s">
        <v>1331</v>
      </c>
      <c r="H373" s="14">
        <v>1437265</v>
      </c>
    </row>
    <row r="374" spans="1:8" ht="30" customHeight="1">
      <c r="A374" s="7">
        <v>368</v>
      </c>
      <c r="B374" s="9" t="s">
        <v>234</v>
      </c>
      <c r="C374" s="9" t="s">
        <v>47</v>
      </c>
      <c r="D374" s="8">
        <v>39883</v>
      </c>
      <c r="E374" s="10" t="str">
        <f t="shared" si="10"/>
        <v>2級</v>
      </c>
      <c r="F374" s="10" t="str">
        <f t="shared" si="11"/>
        <v>除外</v>
      </c>
      <c r="G374" s="13" t="s">
        <v>1332</v>
      </c>
      <c r="H374" s="14">
        <v>1437083</v>
      </c>
    </row>
    <row r="375" spans="1:8" ht="30" customHeight="1">
      <c r="A375" s="7">
        <v>369</v>
      </c>
      <c r="B375" s="9" t="s">
        <v>1333</v>
      </c>
      <c r="C375" s="9" t="s">
        <v>1334</v>
      </c>
      <c r="D375" s="8">
        <v>42116</v>
      </c>
      <c r="E375" s="10" t="str">
        <f t="shared" si="10"/>
        <v>2級</v>
      </c>
      <c r="F375" s="10" t="str">
        <f t="shared" si="11"/>
        <v>採用候補</v>
      </c>
      <c r="G375" s="13" t="s">
        <v>1335</v>
      </c>
      <c r="H375" s="14">
        <v>1436941</v>
      </c>
    </row>
    <row r="376" spans="1:8" ht="30" customHeight="1">
      <c r="A376" s="7">
        <v>370</v>
      </c>
      <c r="B376" s="9" t="s">
        <v>585</v>
      </c>
      <c r="C376" s="9" t="s">
        <v>83</v>
      </c>
      <c r="D376" s="8">
        <v>43278</v>
      </c>
      <c r="E376" s="10" t="str">
        <f t="shared" si="10"/>
        <v>2級</v>
      </c>
      <c r="F376" s="10" t="str">
        <f t="shared" si="11"/>
        <v>採用候補</v>
      </c>
      <c r="G376" s="13" t="s">
        <v>1336</v>
      </c>
      <c r="H376" s="14">
        <v>1436259</v>
      </c>
    </row>
    <row r="377" spans="1:8" ht="30" customHeight="1">
      <c r="A377" s="7">
        <v>371</v>
      </c>
      <c r="B377" s="9" t="s">
        <v>95</v>
      </c>
      <c r="C377" s="9" t="s">
        <v>45</v>
      </c>
      <c r="D377" s="8">
        <v>42298</v>
      </c>
      <c r="E377" s="10" t="str">
        <f t="shared" si="10"/>
        <v>2級</v>
      </c>
      <c r="F377" s="10" t="str">
        <f t="shared" si="11"/>
        <v>採用候補</v>
      </c>
      <c r="G377" s="13" t="s">
        <v>1337</v>
      </c>
      <c r="H377" s="14">
        <v>1430683</v>
      </c>
    </row>
    <row r="378" spans="1:8" ht="30" customHeight="1">
      <c r="A378" s="7">
        <v>372</v>
      </c>
      <c r="B378" s="9" t="s">
        <v>235</v>
      </c>
      <c r="C378" s="9" t="s">
        <v>50</v>
      </c>
      <c r="D378" s="8">
        <v>39715</v>
      </c>
      <c r="E378" s="10" t="str">
        <f t="shared" si="10"/>
        <v>2級</v>
      </c>
      <c r="F378" s="10" t="str">
        <f t="shared" si="11"/>
        <v>除外</v>
      </c>
      <c r="G378" s="13" t="s">
        <v>1338</v>
      </c>
      <c r="H378" s="14">
        <v>1428937</v>
      </c>
    </row>
    <row r="379" spans="1:8" ht="30" customHeight="1">
      <c r="A379" s="7">
        <v>373</v>
      </c>
      <c r="B379" s="9" t="s">
        <v>1339</v>
      </c>
      <c r="C379" s="9" t="s">
        <v>698</v>
      </c>
      <c r="D379" s="8">
        <v>40772</v>
      </c>
      <c r="E379" s="10" t="str">
        <f t="shared" si="10"/>
        <v>2級</v>
      </c>
      <c r="F379" s="10" t="str">
        <f t="shared" si="11"/>
        <v>採用候補</v>
      </c>
      <c r="G379" s="13" t="s">
        <v>1340</v>
      </c>
      <c r="H379" s="14">
        <v>1428038</v>
      </c>
    </row>
    <row r="380" spans="1:8" ht="30" customHeight="1">
      <c r="A380" s="7">
        <v>374</v>
      </c>
      <c r="B380" s="9" t="s">
        <v>236</v>
      </c>
      <c r="C380" s="9" t="s">
        <v>237</v>
      </c>
      <c r="D380" s="8">
        <v>33131</v>
      </c>
      <c r="E380" s="10" t="str">
        <f t="shared" si="10"/>
        <v>2級</v>
      </c>
      <c r="F380" s="10" t="str">
        <f t="shared" si="11"/>
        <v>除外</v>
      </c>
      <c r="G380" s="13" t="s">
        <v>1341</v>
      </c>
      <c r="H380" s="14">
        <v>1427823</v>
      </c>
    </row>
    <row r="381" spans="1:8" ht="30" customHeight="1">
      <c r="A381" s="7">
        <v>375</v>
      </c>
      <c r="B381" s="9" t="s">
        <v>238</v>
      </c>
      <c r="C381" s="9" t="s">
        <v>239</v>
      </c>
      <c r="D381" s="8">
        <v>38084</v>
      </c>
      <c r="E381" s="10" t="str">
        <f t="shared" si="10"/>
        <v>2級</v>
      </c>
      <c r="F381" s="10" t="str">
        <f t="shared" si="11"/>
        <v>除外</v>
      </c>
      <c r="G381" s="13" t="s">
        <v>1342</v>
      </c>
      <c r="H381" s="14">
        <v>1419915</v>
      </c>
    </row>
    <row r="382" spans="1:8" ht="30" customHeight="1">
      <c r="A382" s="7">
        <v>376</v>
      </c>
      <c r="B382" s="9" t="s">
        <v>240</v>
      </c>
      <c r="C382" s="9" t="s">
        <v>140</v>
      </c>
      <c r="D382" s="8">
        <v>37111</v>
      </c>
      <c r="E382" s="10" t="str">
        <f t="shared" si="10"/>
        <v>2級</v>
      </c>
      <c r="F382" s="10" t="str">
        <f t="shared" si="11"/>
        <v>除外</v>
      </c>
      <c r="G382" s="13" t="s">
        <v>1343</v>
      </c>
      <c r="H382" s="14">
        <v>1419508</v>
      </c>
    </row>
    <row r="383" spans="1:8" ht="30" customHeight="1">
      <c r="A383" s="7">
        <v>377</v>
      </c>
      <c r="B383" s="9" t="s">
        <v>241</v>
      </c>
      <c r="C383" s="9" t="s">
        <v>242</v>
      </c>
      <c r="D383" s="8">
        <v>40037</v>
      </c>
      <c r="E383" s="10" t="str">
        <f t="shared" si="10"/>
        <v>2級</v>
      </c>
      <c r="F383" s="10" t="str">
        <f t="shared" si="11"/>
        <v>除外</v>
      </c>
      <c r="G383" s="13" t="s">
        <v>1344</v>
      </c>
      <c r="H383" s="14">
        <v>1418618</v>
      </c>
    </row>
    <row r="384" spans="1:8" ht="30" customHeight="1">
      <c r="A384" s="7">
        <v>378</v>
      </c>
      <c r="B384" s="9" t="s">
        <v>1345</v>
      </c>
      <c r="C384" s="9" t="s">
        <v>1021</v>
      </c>
      <c r="D384" s="8">
        <v>43978</v>
      </c>
      <c r="E384" s="10" t="str">
        <f t="shared" si="10"/>
        <v>2級</v>
      </c>
      <c r="F384" s="10" t="str">
        <f t="shared" si="11"/>
        <v>採用候補</v>
      </c>
      <c r="G384" s="13" t="s">
        <v>1346</v>
      </c>
      <c r="H384" s="14">
        <v>1416948</v>
      </c>
    </row>
    <row r="385" spans="1:8" ht="30" customHeight="1">
      <c r="A385" s="7">
        <v>379</v>
      </c>
      <c r="B385" s="9" t="s">
        <v>1347</v>
      </c>
      <c r="C385" s="9" t="s">
        <v>1348</v>
      </c>
      <c r="D385" s="8">
        <v>41409</v>
      </c>
      <c r="E385" s="10" t="str">
        <f t="shared" si="10"/>
        <v>2級</v>
      </c>
      <c r="F385" s="10" t="str">
        <f t="shared" si="11"/>
        <v>採用候補</v>
      </c>
      <c r="G385" s="13" t="s">
        <v>1349</v>
      </c>
      <c r="H385" s="14">
        <v>1416365</v>
      </c>
    </row>
    <row r="386" spans="1:8" ht="30" customHeight="1">
      <c r="A386" s="7">
        <v>380</v>
      </c>
      <c r="B386" s="9" t="s">
        <v>243</v>
      </c>
      <c r="C386" s="9" t="s">
        <v>19</v>
      </c>
      <c r="D386" s="8">
        <v>34648</v>
      </c>
      <c r="E386" s="10" t="str">
        <f t="shared" si="10"/>
        <v>2級</v>
      </c>
      <c r="F386" s="10" t="str">
        <f t="shared" si="11"/>
        <v>除外</v>
      </c>
      <c r="G386" s="13" t="s">
        <v>1350</v>
      </c>
      <c r="H386" s="14">
        <v>1413911</v>
      </c>
    </row>
    <row r="387" spans="1:8" ht="30" customHeight="1">
      <c r="A387" s="7">
        <v>381</v>
      </c>
      <c r="B387" s="9" t="s">
        <v>1351</v>
      </c>
      <c r="C387" s="9" t="s">
        <v>1352</v>
      </c>
      <c r="D387" s="8">
        <v>45544</v>
      </c>
      <c r="E387" s="10" t="str">
        <f t="shared" si="10"/>
        <v>2級</v>
      </c>
      <c r="F387" s="10" t="str">
        <f t="shared" si="11"/>
        <v>採用候補</v>
      </c>
      <c r="G387" s="13" t="s">
        <v>1353</v>
      </c>
      <c r="H387" s="14">
        <v>1411453</v>
      </c>
    </row>
    <row r="388" spans="1:8" ht="30" customHeight="1">
      <c r="A388" s="7">
        <v>382</v>
      </c>
      <c r="B388" s="9" t="s">
        <v>1354</v>
      </c>
      <c r="C388" s="9" t="s">
        <v>440</v>
      </c>
      <c r="D388" s="8">
        <v>42648</v>
      </c>
      <c r="E388" s="10" t="str">
        <f t="shared" si="10"/>
        <v>2級</v>
      </c>
      <c r="F388" s="10" t="str">
        <f t="shared" si="11"/>
        <v>採用候補</v>
      </c>
      <c r="G388" s="13" t="s">
        <v>1355</v>
      </c>
      <c r="H388" s="14">
        <v>1410863</v>
      </c>
    </row>
    <row r="389" spans="1:8" ht="30" customHeight="1">
      <c r="A389" s="7">
        <v>383</v>
      </c>
      <c r="B389" s="9" t="s">
        <v>244</v>
      </c>
      <c r="C389" s="9" t="s">
        <v>56</v>
      </c>
      <c r="D389" s="8">
        <v>38791</v>
      </c>
      <c r="E389" s="10" t="str">
        <f t="shared" si="10"/>
        <v>2級</v>
      </c>
      <c r="F389" s="10" t="str">
        <f t="shared" si="11"/>
        <v>除外</v>
      </c>
      <c r="G389" s="13" t="s">
        <v>1356</v>
      </c>
      <c r="H389" s="14">
        <v>1410548</v>
      </c>
    </row>
    <row r="390" spans="1:8" ht="30" customHeight="1">
      <c r="A390" s="7">
        <v>384</v>
      </c>
      <c r="B390" s="9" t="s">
        <v>1357</v>
      </c>
      <c r="C390" s="9" t="s">
        <v>60</v>
      </c>
      <c r="D390" s="8">
        <v>42151</v>
      </c>
      <c r="E390" s="10" t="str">
        <f t="shared" si="10"/>
        <v>2級</v>
      </c>
      <c r="F390" s="10" t="str">
        <f t="shared" si="11"/>
        <v>採用候補</v>
      </c>
      <c r="G390" s="13" t="s">
        <v>1358</v>
      </c>
      <c r="H390" s="14">
        <v>1405391</v>
      </c>
    </row>
    <row r="391" spans="1:8" ht="30" customHeight="1">
      <c r="A391" s="7">
        <v>385</v>
      </c>
      <c r="B391" s="9" t="s">
        <v>1359</v>
      </c>
      <c r="C391" s="9" t="s">
        <v>229</v>
      </c>
      <c r="D391" s="8">
        <v>41843</v>
      </c>
      <c r="E391" s="10" t="str">
        <f t="shared" ref="E391:E454" si="12">CHOOSE(INT((A391-1)/100)+1,"5級","4級","3級","2級","1級","初段","二段","三段","四段","五段")</f>
        <v>2級</v>
      </c>
      <c r="F391" s="10" t="str">
        <f t="shared" ref="F391:F454" si="13">IF(D391&gt;=DATE(2010,1,1),"採用候補","除外")</f>
        <v>採用候補</v>
      </c>
      <c r="G391" s="13" t="s">
        <v>1360</v>
      </c>
      <c r="H391" s="14">
        <v>1404497</v>
      </c>
    </row>
    <row r="392" spans="1:8" ht="42" customHeight="1">
      <c r="A392" s="7">
        <v>386</v>
      </c>
      <c r="B392" s="9" t="s">
        <v>1361</v>
      </c>
      <c r="C392" s="9" t="s">
        <v>1362</v>
      </c>
      <c r="D392" s="8">
        <v>43224</v>
      </c>
      <c r="E392" s="10" t="str">
        <f t="shared" si="12"/>
        <v>2級</v>
      </c>
      <c r="F392" s="10" t="str">
        <f t="shared" si="13"/>
        <v>採用候補</v>
      </c>
      <c r="G392" s="13" t="s">
        <v>1363</v>
      </c>
      <c r="H392" s="14">
        <v>1398667</v>
      </c>
    </row>
    <row r="393" spans="1:8" ht="30" customHeight="1">
      <c r="A393" s="7">
        <v>387</v>
      </c>
      <c r="B393" s="9" t="s">
        <v>1364</v>
      </c>
      <c r="C393" s="9" t="s">
        <v>1365</v>
      </c>
      <c r="D393" s="8">
        <v>42466</v>
      </c>
      <c r="E393" s="10" t="str">
        <f t="shared" si="12"/>
        <v>2級</v>
      </c>
      <c r="F393" s="10" t="str">
        <f t="shared" si="13"/>
        <v>採用候補</v>
      </c>
      <c r="G393" s="13" t="s">
        <v>1366</v>
      </c>
      <c r="H393" s="14">
        <v>1397437</v>
      </c>
    </row>
    <row r="394" spans="1:8" ht="30" customHeight="1">
      <c r="A394" s="7">
        <v>388</v>
      </c>
      <c r="B394" s="9" t="s">
        <v>245</v>
      </c>
      <c r="C394" s="9" t="s">
        <v>86</v>
      </c>
      <c r="D394" s="8">
        <v>38567</v>
      </c>
      <c r="E394" s="10" t="str">
        <f t="shared" si="12"/>
        <v>2級</v>
      </c>
      <c r="F394" s="10" t="str">
        <f t="shared" si="13"/>
        <v>除外</v>
      </c>
      <c r="G394" s="13" t="s">
        <v>1367</v>
      </c>
      <c r="H394" s="14">
        <v>1396113</v>
      </c>
    </row>
    <row r="395" spans="1:8" ht="30" customHeight="1">
      <c r="A395" s="7">
        <v>389</v>
      </c>
      <c r="B395" s="9" t="s">
        <v>1368</v>
      </c>
      <c r="C395" s="9" t="s">
        <v>1369</v>
      </c>
      <c r="D395" s="8">
        <v>40478</v>
      </c>
      <c r="E395" s="10" t="str">
        <f t="shared" si="12"/>
        <v>2級</v>
      </c>
      <c r="F395" s="10" t="str">
        <f t="shared" si="13"/>
        <v>採用候補</v>
      </c>
      <c r="G395" s="13" t="s">
        <v>1370</v>
      </c>
      <c r="H395" s="14">
        <v>1395594</v>
      </c>
    </row>
    <row r="396" spans="1:8" ht="30" customHeight="1">
      <c r="A396" s="7">
        <v>390</v>
      </c>
      <c r="B396" s="9" t="s">
        <v>246</v>
      </c>
      <c r="C396" s="9" t="s">
        <v>247</v>
      </c>
      <c r="D396" s="8">
        <v>39036</v>
      </c>
      <c r="E396" s="10" t="str">
        <f t="shared" si="12"/>
        <v>2級</v>
      </c>
      <c r="F396" s="10" t="str">
        <f t="shared" si="13"/>
        <v>除外</v>
      </c>
      <c r="G396" s="13" t="s">
        <v>1371</v>
      </c>
      <c r="H396" s="14">
        <v>1394748</v>
      </c>
    </row>
    <row r="397" spans="1:8" ht="30" customHeight="1">
      <c r="A397" s="7">
        <v>391</v>
      </c>
      <c r="B397" s="9" t="s">
        <v>1372</v>
      </c>
      <c r="C397" s="9" t="s">
        <v>698</v>
      </c>
      <c r="D397" s="8">
        <v>40772</v>
      </c>
      <c r="E397" s="10" t="str">
        <f t="shared" si="12"/>
        <v>2級</v>
      </c>
      <c r="F397" s="10" t="str">
        <f t="shared" si="13"/>
        <v>採用候補</v>
      </c>
      <c r="G397" s="13" t="s">
        <v>1373</v>
      </c>
      <c r="H397" s="14">
        <v>1390299</v>
      </c>
    </row>
    <row r="398" spans="1:8" ht="30" customHeight="1">
      <c r="A398" s="7">
        <v>392</v>
      </c>
      <c r="B398" s="9" t="s">
        <v>248</v>
      </c>
      <c r="C398" s="9" t="s">
        <v>29</v>
      </c>
      <c r="D398" s="8">
        <v>38987</v>
      </c>
      <c r="E398" s="10" t="str">
        <f t="shared" si="12"/>
        <v>2級</v>
      </c>
      <c r="F398" s="10" t="str">
        <f t="shared" si="13"/>
        <v>除外</v>
      </c>
      <c r="G398" s="13" t="s">
        <v>1374</v>
      </c>
      <c r="H398" s="14">
        <v>1389691</v>
      </c>
    </row>
    <row r="399" spans="1:8" ht="30" customHeight="1">
      <c r="A399" s="7">
        <v>393</v>
      </c>
      <c r="B399" s="9" t="s">
        <v>226</v>
      </c>
      <c r="C399" s="9" t="s">
        <v>1375</v>
      </c>
      <c r="D399" s="8">
        <v>41696</v>
      </c>
      <c r="E399" s="10" t="str">
        <f t="shared" si="12"/>
        <v>2級</v>
      </c>
      <c r="F399" s="10" t="str">
        <f t="shared" si="13"/>
        <v>採用候補</v>
      </c>
      <c r="G399" s="13" t="s">
        <v>1376</v>
      </c>
      <c r="H399" s="14">
        <v>1387121</v>
      </c>
    </row>
    <row r="400" spans="1:8" ht="30" customHeight="1">
      <c r="A400" s="7">
        <v>394</v>
      </c>
      <c r="B400" s="9" t="s">
        <v>612</v>
      </c>
      <c r="C400" s="9" t="s">
        <v>1377</v>
      </c>
      <c r="D400" s="8">
        <v>42053</v>
      </c>
      <c r="E400" s="10" t="str">
        <f t="shared" si="12"/>
        <v>2級</v>
      </c>
      <c r="F400" s="10" t="str">
        <f t="shared" si="13"/>
        <v>採用候補</v>
      </c>
      <c r="G400" s="13" t="s">
        <v>1378</v>
      </c>
      <c r="H400" s="14">
        <v>1385232</v>
      </c>
    </row>
    <row r="401" spans="1:8" ht="30" customHeight="1">
      <c r="A401" s="7">
        <v>395</v>
      </c>
      <c r="B401" s="9" t="s">
        <v>249</v>
      </c>
      <c r="C401" s="9" t="s">
        <v>250</v>
      </c>
      <c r="D401" s="8">
        <v>39267</v>
      </c>
      <c r="E401" s="10" t="str">
        <f t="shared" si="12"/>
        <v>2級</v>
      </c>
      <c r="F401" s="10" t="str">
        <f t="shared" si="13"/>
        <v>除外</v>
      </c>
      <c r="G401" s="13" t="s">
        <v>1379</v>
      </c>
      <c r="H401" s="14">
        <v>1381633</v>
      </c>
    </row>
    <row r="402" spans="1:8" ht="30" customHeight="1">
      <c r="A402" s="7">
        <v>396</v>
      </c>
      <c r="B402" s="9" t="s">
        <v>251</v>
      </c>
      <c r="C402" s="9" t="s">
        <v>65</v>
      </c>
      <c r="D402" s="8">
        <v>38337</v>
      </c>
      <c r="E402" s="10" t="str">
        <f t="shared" si="12"/>
        <v>2級</v>
      </c>
      <c r="F402" s="10" t="str">
        <f t="shared" si="13"/>
        <v>除外</v>
      </c>
      <c r="G402" s="13" t="s">
        <v>1380</v>
      </c>
      <c r="H402" s="14">
        <v>1377160</v>
      </c>
    </row>
    <row r="403" spans="1:8" ht="30" customHeight="1">
      <c r="A403" s="7">
        <v>397</v>
      </c>
      <c r="B403" s="9" t="s">
        <v>252</v>
      </c>
      <c r="C403" s="9" t="s">
        <v>253</v>
      </c>
      <c r="D403" s="8">
        <v>32971</v>
      </c>
      <c r="E403" s="10" t="str">
        <f t="shared" si="12"/>
        <v>2級</v>
      </c>
      <c r="F403" s="10" t="str">
        <f t="shared" si="13"/>
        <v>除外</v>
      </c>
      <c r="G403" s="13" t="s">
        <v>1381</v>
      </c>
      <c r="H403" s="14">
        <v>1376859</v>
      </c>
    </row>
    <row r="404" spans="1:8" ht="30" customHeight="1">
      <c r="A404" s="7">
        <v>398</v>
      </c>
      <c r="B404" s="9" t="s">
        <v>254</v>
      </c>
      <c r="C404" s="9" t="s">
        <v>255</v>
      </c>
      <c r="D404" s="8">
        <v>39778</v>
      </c>
      <c r="E404" s="10" t="str">
        <f t="shared" si="12"/>
        <v>2級</v>
      </c>
      <c r="F404" s="10" t="str">
        <f t="shared" si="13"/>
        <v>除外</v>
      </c>
      <c r="G404" s="13" t="s">
        <v>1382</v>
      </c>
      <c r="H404" s="14">
        <v>1373042</v>
      </c>
    </row>
    <row r="405" spans="1:8" ht="30" customHeight="1">
      <c r="A405" s="7">
        <v>399</v>
      </c>
      <c r="B405" s="9" t="s">
        <v>1383</v>
      </c>
      <c r="C405" s="9" t="s">
        <v>844</v>
      </c>
      <c r="D405" s="8">
        <v>42263</v>
      </c>
      <c r="E405" s="10" t="str">
        <f t="shared" si="12"/>
        <v>2級</v>
      </c>
      <c r="F405" s="10" t="str">
        <f t="shared" si="13"/>
        <v>採用候補</v>
      </c>
      <c r="G405" s="13" t="s">
        <v>1384</v>
      </c>
      <c r="H405" s="14">
        <v>1372329</v>
      </c>
    </row>
    <row r="406" spans="1:8" ht="30" customHeight="1">
      <c r="A406" s="7">
        <v>400</v>
      </c>
      <c r="B406" s="9" t="s">
        <v>1385</v>
      </c>
      <c r="C406" s="9" t="s">
        <v>1386</v>
      </c>
      <c r="D406" s="8">
        <v>44503</v>
      </c>
      <c r="E406" s="10" t="str">
        <f t="shared" si="12"/>
        <v>2級</v>
      </c>
      <c r="F406" s="10" t="str">
        <f t="shared" si="13"/>
        <v>採用候補</v>
      </c>
      <c r="G406" s="13" t="s">
        <v>1387</v>
      </c>
      <c r="H406" s="14">
        <v>1370591</v>
      </c>
    </row>
    <row r="407" spans="1:8" ht="30" customHeight="1">
      <c r="A407" s="7">
        <v>401</v>
      </c>
      <c r="B407" s="9" t="s">
        <v>1388</v>
      </c>
      <c r="C407" s="9" t="s">
        <v>775</v>
      </c>
      <c r="D407" s="8">
        <v>41388</v>
      </c>
      <c r="E407" s="10" t="str">
        <f t="shared" si="12"/>
        <v>1級</v>
      </c>
      <c r="F407" s="10" t="str">
        <f t="shared" si="13"/>
        <v>採用候補</v>
      </c>
      <c r="G407" s="13" t="s">
        <v>1389</v>
      </c>
      <c r="H407" s="14">
        <v>1368937</v>
      </c>
    </row>
    <row r="408" spans="1:8" ht="30" customHeight="1">
      <c r="A408" s="7">
        <v>402</v>
      </c>
      <c r="B408" s="9" t="s">
        <v>1390</v>
      </c>
      <c r="C408" s="9" t="s">
        <v>47</v>
      </c>
      <c r="D408" s="8">
        <v>45765</v>
      </c>
      <c r="E408" s="10" t="str">
        <f t="shared" si="12"/>
        <v>1級</v>
      </c>
      <c r="F408" s="10" t="str">
        <f t="shared" si="13"/>
        <v>採用候補</v>
      </c>
      <c r="G408" s="13" t="s">
        <v>1391</v>
      </c>
      <c r="H408" s="14">
        <v>1367125</v>
      </c>
    </row>
    <row r="409" spans="1:8" ht="30" customHeight="1">
      <c r="A409" s="7">
        <v>403</v>
      </c>
      <c r="B409" s="9" t="s">
        <v>1392</v>
      </c>
      <c r="C409" s="9" t="s">
        <v>155</v>
      </c>
      <c r="D409" s="8">
        <v>41220</v>
      </c>
      <c r="E409" s="10" t="str">
        <f t="shared" si="12"/>
        <v>1級</v>
      </c>
      <c r="F409" s="10" t="str">
        <f t="shared" si="13"/>
        <v>採用候補</v>
      </c>
      <c r="G409" s="13" t="s">
        <v>1393</v>
      </c>
      <c r="H409" s="14">
        <v>1366135</v>
      </c>
    </row>
    <row r="410" spans="1:8" ht="30" customHeight="1">
      <c r="A410" s="7">
        <v>404</v>
      </c>
      <c r="B410" s="9" t="s">
        <v>1394</v>
      </c>
      <c r="C410" s="9" t="s">
        <v>1395</v>
      </c>
      <c r="D410" s="8">
        <v>45922</v>
      </c>
      <c r="E410" s="10" t="str">
        <f t="shared" si="12"/>
        <v>1級</v>
      </c>
      <c r="F410" s="10" t="str">
        <f t="shared" si="13"/>
        <v>採用候補</v>
      </c>
      <c r="G410" s="13" t="s">
        <v>1396</v>
      </c>
      <c r="H410" s="14">
        <v>1364051</v>
      </c>
    </row>
    <row r="411" spans="1:8" ht="30" customHeight="1">
      <c r="A411" s="7">
        <v>405</v>
      </c>
      <c r="B411" s="9" t="s">
        <v>1397</v>
      </c>
      <c r="C411" s="9" t="s">
        <v>33</v>
      </c>
      <c r="D411" s="8">
        <v>41465</v>
      </c>
      <c r="E411" s="10" t="str">
        <f t="shared" si="12"/>
        <v>1級</v>
      </c>
      <c r="F411" s="10" t="str">
        <f t="shared" si="13"/>
        <v>採用候補</v>
      </c>
      <c r="G411" s="13" t="s">
        <v>1398</v>
      </c>
      <c r="H411" s="14">
        <v>1363558</v>
      </c>
    </row>
    <row r="412" spans="1:8" ht="42" customHeight="1">
      <c r="A412" s="7">
        <v>406</v>
      </c>
      <c r="B412" s="9" t="s">
        <v>1399</v>
      </c>
      <c r="C412" s="9" t="s">
        <v>787</v>
      </c>
      <c r="D412" s="8">
        <v>42977</v>
      </c>
      <c r="E412" s="10" t="str">
        <f t="shared" si="12"/>
        <v>1級</v>
      </c>
      <c r="F412" s="10" t="str">
        <f t="shared" si="13"/>
        <v>採用候補</v>
      </c>
      <c r="G412" s="13" t="s">
        <v>1400</v>
      </c>
      <c r="H412" s="14">
        <v>1362925</v>
      </c>
    </row>
    <row r="413" spans="1:8" ht="30" customHeight="1">
      <c r="A413" s="7">
        <v>407</v>
      </c>
      <c r="B413" s="9" t="s">
        <v>256</v>
      </c>
      <c r="C413" s="9" t="s">
        <v>257</v>
      </c>
      <c r="D413" s="8">
        <v>33147</v>
      </c>
      <c r="E413" s="10" t="str">
        <f t="shared" si="12"/>
        <v>1級</v>
      </c>
      <c r="F413" s="10" t="str">
        <f t="shared" si="13"/>
        <v>除外</v>
      </c>
      <c r="G413" s="13" t="s">
        <v>1401</v>
      </c>
      <c r="H413" s="14">
        <v>1360622</v>
      </c>
    </row>
    <row r="414" spans="1:8" ht="30" customHeight="1">
      <c r="A414" s="7">
        <v>408</v>
      </c>
      <c r="B414" s="9" t="s">
        <v>1402</v>
      </c>
      <c r="C414" s="9" t="s">
        <v>86</v>
      </c>
      <c r="D414" s="8">
        <v>42438</v>
      </c>
      <c r="E414" s="10" t="str">
        <f t="shared" si="12"/>
        <v>1級</v>
      </c>
      <c r="F414" s="10" t="str">
        <f t="shared" si="13"/>
        <v>採用候補</v>
      </c>
      <c r="G414" s="13" t="s">
        <v>1403</v>
      </c>
      <c r="H414" s="14">
        <v>1359772</v>
      </c>
    </row>
    <row r="415" spans="1:8" ht="42" customHeight="1">
      <c r="A415" s="7">
        <v>409</v>
      </c>
      <c r="B415" s="9" t="s">
        <v>258</v>
      </c>
      <c r="C415" s="9" t="s">
        <v>259</v>
      </c>
      <c r="D415" s="8">
        <v>35452</v>
      </c>
      <c r="E415" s="10" t="str">
        <f t="shared" si="12"/>
        <v>1級</v>
      </c>
      <c r="F415" s="10" t="str">
        <f t="shared" si="13"/>
        <v>除外</v>
      </c>
      <c r="G415" s="13" t="s">
        <v>1404</v>
      </c>
      <c r="H415" s="14">
        <v>1357163</v>
      </c>
    </row>
    <row r="416" spans="1:8" ht="30" customHeight="1">
      <c r="A416" s="7">
        <v>410</v>
      </c>
      <c r="B416" s="9" t="s">
        <v>1405</v>
      </c>
      <c r="C416" s="9" t="s">
        <v>1406</v>
      </c>
      <c r="D416" s="8">
        <v>42515</v>
      </c>
      <c r="E416" s="10" t="str">
        <f t="shared" si="12"/>
        <v>1級</v>
      </c>
      <c r="F416" s="10" t="str">
        <f t="shared" si="13"/>
        <v>採用候補</v>
      </c>
      <c r="G416" s="13" t="s">
        <v>1407</v>
      </c>
      <c r="H416" s="14">
        <v>1354993</v>
      </c>
    </row>
    <row r="417" spans="1:8" ht="30" customHeight="1">
      <c r="A417" s="7">
        <v>411</v>
      </c>
      <c r="B417" s="9" t="s">
        <v>260</v>
      </c>
      <c r="C417" s="9" t="s">
        <v>261</v>
      </c>
      <c r="D417" s="8">
        <v>36684</v>
      </c>
      <c r="E417" s="10" t="str">
        <f t="shared" si="12"/>
        <v>1級</v>
      </c>
      <c r="F417" s="10" t="str">
        <f t="shared" si="13"/>
        <v>除外</v>
      </c>
      <c r="G417" s="13" t="s">
        <v>1408</v>
      </c>
      <c r="H417" s="14">
        <v>1353813</v>
      </c>
    </row>
    <row r="418" spans="1:8" ht="30" customHeight="1">
      <c r="A418" s="7">
        <v>412</v>
      </c>
      <c r="B418" s="9" t="s">
        <v>1409</v>
      </c>
      <c r="C418" s="9" t="s">
        <v>1410</v>
      </c>
      <c r="D418" s="8">
        <v>42893</v>
      </c>
      <c r="E418" s="10" t="str">
        <f t="shared" si="12"/>
        <v>1級</v>
      </c>
      <c r="F418" s="10" t="str">
        <f t="shared" si="13"/>
        <v>採用候補</v>
      </c>
      <c r="G418" s="13" t="s">
        <v>1411</v>
      </c>
      <c r="H418" s="14">
        <v>1351964</v>
      </c>
    </row>
    <row r="419" spans="1:8" ht="30" customHeight="1">
      <c r="A419" s="7">
        <v>413</v>
      </c>
      <c r="B419" s="9" t="s">
        <v>1412</v>
      </c>
      <c r="C419" s="9" t="s">
        <v>54</v>
      </c>
      <c r="D419" s="8">
        <v>41808</v>
      </c>
      <c r="E419" s="10" t="str">
        <f t="shared" si="12"/>
        <v>1級</v>
      </c>
      <c r="F419" s="10" t="str">
        <f t="shared" si="13"/>
        <v>採用候補</v>
      </c>
      <c r="G419" s="13" t="s">
        <v>1413</v>
      </c>
      <c r="H419" s="14">
        <v>1348960</v>
      </c>
    </row>
    <row r="420" spans="1:8" ht="30" customHeight="1">
      <c r="A420" s="7">
        <v>414</v>
      </c>
      <c r="B420" s="9" t="s">
        <v>1414</v>
      </c>
      <c r="C420" s="9" t="s">
        <v>679</v>
      </c>
      <c r="D420" s="8">
        <v>40842</v>
      </c>
      <c r="E420" s="10" t="str">
        <f t="shared" si="12"/>
        <v>1級</v>
      </c>
      <c r="F420" s="10" t="str">
        <f t="shared" si="13"/>
        <v>採用候補</v>
      </c>
      <c r="G420" s="13" t="s">
        <v>1415</v>
      </c>
      <c r="H420" s="14">
        <v>1348648</v>
      </c>
    </row>
    <row r="421" spans="1:8" ht="30" customHeight="1">
      <c r="A421" s="7">
        <v>415</v>
      </c>
      <c r="B421" s="9" t="s">
        <v>262</v>
      </c>
      <c r="C421" s="9" t="s">
        <v>70</v>
      </c>
      <c r="D421" s="8">
        <v>38679</v>
      </c>
      <c r="E421" s="10" t="str">
        <f t="shared" si="12"/>
        <v>1級</v>
      </c>
      <c r="F421" s="10" t="str">
        <f t="shared" si="13"/>
        <v>除外</v>
      </c>
      <c r="G421" s="13" t="s">
        <v>1416</v>
      </c>
      <c r="H421" s="14">
        <v>1348434</v>
      </c>
    </row>
    <row r="422" spans="1:8" ht="30" customHeight="1">
      <c r="A422" s="7">
        <v>416</v>
      </c>
      <c r="B422" s="9" t="s">
        <v>263</v>
      </c>
      <c r="C422" s="9" t="s">
        <v>264</v>
      </c>
      <c r="D422" s="8">
        <v>38616</v>
      </c>
      <c r="E422" s="10" t="str">
        <f t="shared" si="12"/>
        <v>1級</v>
      </c>
      <c r="F422" s="10" t="str">
        <f t="shared" si="13"/>
        <v>除外</v>
      </c>
      <c r="G422" s="13" t="s">
        <v>1417</v>
      </c>
      <c r="H422" s="14">
        <v>1344302</v>
      </c>
    </row>
    <row r="423" spans="1:8" ht="30" customHeight="1">
      <c r="A423" s="7">
        <v>417</v>
      </c>
      <c r="B423" s="9" t="s">
        <v>1418</v>
      </c>
      <c r="C423" s="9" t="s">
        <v>1419</v>
      </c>
      <c r="D423" s="8">
        <v>44319</v>
      </c>
      <c r="E423" s="10" t="str">
        <f t="shared" si="12"/>
        <v>1級</v>
      </c>
      <c r="F423" s="10" t="str">
        <f t="shared" si="13"/>
        <v>採用候補</v>
      </c>
      <c r="G423" s="13" t="s">
        <v>1420</v>
      </c>
      <c r="H423" s="14">
        <v>1343404</v>
      </c>
    </row>
    <row r="424" spans="1:8" ht="30" customHeight="1">
      <c r="A424" s="7">
        <v>418</v>
      </c>
      <c r="B424" s="9" t="s">
        <v>265</v>
      </c>
      <c r="C424" s="9" t="s">
        <v>140</v>
      </c>
      <c r="D424" s="8">
        <v>35809</v>
      </c>
      <c r="E424" s="10" t="str">
        <f t="shared" si="12"/>
        <v>1級</v>
      </c>
      <c r="F424" s="10" t="str">
        <f t="shared" si="13"/>
        <v>除外</v>
      </c>
      <c r="G424" s="13" t="s">
        <v>1421</v>
      </c>
      <c r="H424" s="14">
        <v>1340423</v>
      </c>
    </row>
    <row r="425" spans="1:8" ht="30" customHeight="1">
      <c r="A425" s="7">
        <v>419</v>
      </c>
      <c r="B425" s="9" t="s">
        <v>1422</v>
      </c>
      <c r="C425" s="9" t="s">
        <v>153</v>
      </c>
      <c r="D425" s="8">
        <v>42221</v>
      </c>
      <c r="E425" s="10" t="str">
        <f t="shared" si="12"/>
        <v>1級</v>
      </c>
      <c r="F425" s="10" t="str">
        <f t="shared" si="13"/>
        <v>採用候補</v>
      </c>
      <c r="G425" s="13" t="s">
        <v>1423</v>
      </c>
      <c r="H425" s="14">
        <v>1338883</v>
      </c>
    </row>
    <row r="426" spans="1:8" ht="30" customHeight="1">
      <c r="A426" s="7">
        <v>420</v>
      </c>
      <c r="B426" s="9" t="s">
        <v>1424</v>
      </c>
      <c r="C426" s="9" t="s">
        <v>1425</v>
      </c>
      <c r="D426" s="8">
        <v>41633</v>
      </c>
      <c r="E426" s="10" t="str">
        <f t="shared" si="12"/>
        <v>1級</v>
      </c>
      <c r="F426" s="10" t="str">
        <f t="shared" si="13"/>
        <v>採用候補</v>
      </c>
      <c r="G426" s="13" t="s">
        <v>1426</v>
      </c>
      <c r="H426" s="14">
        <v>1337559</v>
      </c>
    </row>
    <row r="427" spans="1:8" ht="30" customHeight="1">
      <c r="A427" s="7">
        <v>421</v>
      </c>
      <c r="B427" s="9" t="s">
        <v>1427</v>
      </c>
      <c r="C427" s="9" t="s">
        <v>1428</v>
      </c>
      <c r="D427" s="8">
        <v>40233</v>
      </c>
      <c r="E427" s="10" t="str">
        <f t="shared" si="12"/>
        <v>1級</v>
      </c>
      <c r="F427" s="10" t="str">
        <f t="shared" si="13"/>
        <v>採用候補</v>
      </c>
      <c r="G427" s="13" t="s">
        <v>1429</v>
      </c>
      <c r="H427" s="14">
        <v>1336659</v>
      </c>
    </row>
    <row r="428" spans="1:8" ht="30" customHeight="1">
      <c r="A428" s="7">
        <v>422</v>
      </c>
      <c r="B428" s="9" t="s">
        <v>1430</v>
      </c>
      <c r="C428" s="9" t="s">
        <v>1431</v>
      </c>
      <c r="D428" s="8">
        <v>41185</v>
      </c>
      <c r="E428" s="10" t="str">
        <f t="shared" si="12"/>
        <v>1級</v>
      </c>
      <c r="F428" s="10" t="str">
        <f t="shared" si="13"/>
        <v>採用候補</v>
      </c>
      <c r="G428" s="13" t="s">
        <v>1432</v>
      </c>
      <c r="H428" s="14">
        <v>1336160</v>
      </c>
    </row>
    <row r="429" spans="1:8" ht="30" customHeight="1">
      <c r="A429" s="7">
        <v>423</v>
      </c>
      <c r="B429" s="9" t="s">
        <v>1433</v>
      </c>
      <c r="C429" s="9" t="s">
        <v>1434</v>
      </c>
      <c r="D429" s="8">
        <v>41136</v>
      </c>
      <c r="E429" s="10" t="str">
        <f t="shared" si="12"/>
        <v>1級</v>
      </c>
      <c r="F429" s="10" t="str">
        <f t="shared" si="13"/>
        <v>採用候補</v>
      </c>
      <c r="G429" s="13" t="s">
        <v>1435</v>
      </c>
      <c r="H429" s="14">
        <v>1334352</v>
      </c>
    </row>
    <row r="430" spans="1:8" ht="30" customHeight="1">
      <c r="A430" s="7">
        <v>424</v>
      </c>
      <c r="B430" s="9" t="s">
        <v>266</v>
      </c>
      <c r="C430" s="9" t="s">
        <v>47</v>
      </c>
      <c r="D430" s="8">
        <v>38763</v>
      </c>
      <c r="E430" s="10" t="str">
        <f t="shared" si="12"/>
        <v>1級</v>
      </c>
      <c r="F430" s="10" t="str">
        <f t="shared" si="13"/>
        <v>除外</v>
      </c>
      <c r="G430" s="13" t="s">
        <v>1436</v>
      </c>
      <c r="H430" s="14">
        <v>1334015</v>
      </c>
    </row>
    <row r="431" spans="1:8" ht="30" customHeight="1">
      <c r="A431" s="7">
        <v>425</v>
      </c>
      <c r="B431" s="9" t="s">
        <v>1437</v>
      </c>
      <c r="C431" s="9" t="s">
        <v>1438</v>
      </c>
      <c r="D431" s="8">
        <v>43934</v>
      </c>
      <c r="E431" s="10" t="str">
        <f t="shared" si="12"/>
        <v>1級</v>
      </c>
      <c r="F431" s="10" t="str">
        <f t="shared" si="13"/>
        <v>採用候補</v>
      </c>
      <c r="G431" s="13" t="s">
        <v>1439</v>
      </c>
      <c r="H431" s="14">
        <v>1333510</v>
      </c>
    </row>
    <row r="432" spans="1:8" ht="30" customHeight="1">
      <c r="A432" s="7">
        <v>426</v>
      </c>
      <c r="B432" s="9" t="s">
        <v>1440</v>
      </c>
      <c r="C432" s="9" t="s">
        <v>708</v>
      </c>
      <c r="D432" s="8">
        <v>43962</v>
      </c>
      <c r="E432" s="10" t="str">
        <f t="shared" si="12"/>
        <v>1級</v>
      </c>
      <c r="F432" s="10" t="str">
        <f t="shared" si="13"/>
        <v>採用候補</v>
      </c>
      <c r="G432" s="13" t="s">
        <v>1441</v>
      </c>
      <c r="H432" s="14">
        <v>1330521</v>
      </c>
    </row>
    <row r="433" spans="1:8" ht="30" customHeight="1">
      <c r="A433" s="7">
        <v>427</v>
      </c>
      <c r="B433" s="9" t="s">
        <v>267</v>
      </c>
      <c r="C433" s="9" t="s">
        <v>268</v>
      </c>
      <c r="D433" s="8">
        <v>38105</v>
      </c>
      <c r="E433" s="10" t="str">
        <f t="shared" si="12"/>
        <v>1級</v>
      </c>
      <c r="F433" s="10" t="str">
        <f t="shared" si="13"/>
        <v>除外</v>
      </c>
      <c r="G433" s="13" t="s">
        <v>1442</v>
      </c>
      <c r="H433" s="14">
        <v>1328855</v>
      </c>
    </row>
    <row r="434" spans="1:8" ht="42" customHeight="1">
      <c r="A434" s="7">
        <v>428</v>
      </c>
      <c r="B434" s="9" t="s">
        <v>269</v>
      </c>
      <c r="C434" s="9" t="s">
        <v>270</v>
      </c>
      <c r="D434" s="8">
        <v>39470</v>
      </c>
      <c r="E434" s="10" t="str">
        <f t="shared" si="12"/>
        <v>1級</v>
      </c>
      <c r="F434" s="10" t="str">
        <f t="shared" si="13"/>
        <v>除外</v>
      </c>
      <c r="G434" s="13" t="s">
        <v>1443</v>
      </c>
      <c r="H434" s="14">
        <v>1328800</v>
      </c>
    </row>
    <row r="435" spans="1:8" ht="30" customHeight="1">
      <c r="A435" s="7">
        <v>429</v>
      </c>
      <c r="B435" s="9" t="s">
        <v>1444</v>
      </c>
      <c r="C435" s="9" t="s">
        <v>1445</v>
      </c>
      <c r="D435" s="8">
        <v>41843</v>
      </c>
      <c r="E435" s="10" t="str">
        <f t="shared" si="12"/>
        <v>1級</v>
      </c>
      <c r="F435" s="10" t="str">
        <f t="shared" si="13"/>
        <v>採用候補</v>
      </c>
      <c r="G435" s="13" t="s">
        <v>1446</v>
      </c>
      <c r="H435" s="14">
        <v>1327326</v>
      </c>
    </row>
    <row r="436" spans="1:8" ht="30" customHeight="1">
      <c r="A436" s="7">
        <v>430</v>
      </c>
      <c r="B436" s="9" t="s">
        <v>1447</v>
      </c>
      <c r="C436" s="9" t="s">
        <v>1448</v>
      </c>
      <c r="D436" s="8">
        <v>42193</v>
      </c>
      <c r="E436" s="10" t="str">
        <f t="shared" si="12"/>
        <v>1級</v>
      </c>
      <c r="F436" s="10" t="str">
        <f t="shared" si="13"/>
        <v>採用候補</v>
      </c>
      <c r="G436" s="13" t="s">
        <v>1449</v>
      </c>
      <c r="H436" s="14">
        <v>1324658</v>
      </c>
    </row>
    <row r="437" spans="1:8" ht="30" customHeight="1">
      <c r="A437" s="7">
        <v>431</v>
      </c>
      <c r="B437" s="9" t="s">
        <v>1450</v>
      </c>
      <c r="C437" s="9" t="s">
        <v>698</v>
      </c>
      <c r="D437" s="8">
        <v>40275</v>
      </c>
      <c r="E437" s="10" t="str">
        <f t="shared" si="12"/>
        <v>1級</v>
      </c>
      <c r="F437" s="10" t="str">
        <f t="shared" si="13"/>
        <v>採用候補</v>
      </c>
      <c r="G437" s="13" t="s">
        <v>1451</v>
      </c>
      <c r="H437" s="14">
        <v>1323200</v>
      </c>
    </row>
    <row r="438" spans="1:8" ht="42" customHeight="1">
      <c r="A438" s="7">
        <v>432</v>
      </c>
      <c r="B438" s="9" t="s">
        <v>1452</v>
      </c>
      <c r="C438" s="9" t="s">
        <v>654</v>
      </c>
      <c r="D438" s="8">
        <v>40926</v>
      </c>
      <c r="E438" s="10" t="str">
        <f t="shared" si="12"/>
        <v>1級</v>
      </c>
      <c r="F438" s="10" t="str">
        <f t="shared" si="13"/>
        <v>採用候補</v>
      </c>
      <c r="G438" s="13" t="s">
        <v>1453</v>
      </c>
      <c r="H438" s="14">
        <v>1317940</v>
      </c>
    </row>
    <row r="439" spans="1:8" ht="30" customHeight="1">
      <c r="A439" s="7">
        <v>433</v>
      </c>
      <c r="B439" s="9" t="s">
        <v>1454</v>
      </c>
      <c r="C439" s="9" t="s">
        <v>755</v>
      </c>
      <c r="D439" s="8">
        <v>44241</v>
      </c>
      <c r="E439" s="10" t="str">
        <f t="shared" si="12"/>
        <v>1級</v>
      </c>
      <c r="F439" s="10" t="str">
        <f t="shared" si="13"/>
        <v>採用候補</v>
      </c>
      <c r="G439" s="13" t="s">
        <v>1455</v>
      </c>
      <c r="H439" s="14">
        <v>1316299</v>
      </c>
    </row>
    <row r="440" spans="1:8" ht="30" customHeight="1">
      <c r="A440" s="7">
        <v>434</v>
      </c>
      <c r="B440" s="9" t="s">
        <v>271</v>
      </c>
      <c r="C440" s="9" t="s">
        <v>29</v>
      </c>
      <c r="D440" s="8">
        <v>39043</v>
      </c>
      <c r="E440" s="10" t="str">
        <f t="shared" si="12"/>
        <v>1級</v>
      </c>
      <c r="F440" s="10" t="str">
        <f t="shared" si="13"/>
        <v>除外</v>
      </c>
      <c r="G440" s="13" t="s">
        <v>1456</v>
      </c>
      <c r="H440" s="14">
        <v>1315004</v>
      </c>
    </row>
    <row r="441" spans="1:8" ht="30" customHeight="1">
      <c r="A441" s="7">
        <v>435</v>
      </c>
      <c r="B441" s="9" t="s">
        <v>272</v>
      </c>
      <c r="C441" s="9" t="s">
        <v>273</v>
      </c>
      <c r="D441" s="8">
        <v>38161</v>
      </c>
      <c r="E441" s="10" t="str">
        <f t="shared" si="12"/>
        <v>1級</v>
      </c>
      <c r="F441" s="10" t="str">
        <f t="shared" si="13"/>
        <v>除外</v>
      </c>
      <c r="G441" s="13" t="s">
        <v>1457</v>
      </c>
      <c r="H441" s="14">
        <v>1312410</v>
      </c>
    </row>
    <row r="442" spans="1:8" ht="30" customHeight="1">
      <c r="A442" s="7">
        <v>436</v>
      </c>
      <c r="B442" s="9" t="s">
        <v>274</v>
      </c>
      <c r="C442" s="9" t="s">
        <v>72</v>
      </c>
      <c r="D442" s="8">
        <v>38658</v>
      </c>
      <c r="E442" s="10" t="str">
        <f t="shared" si="12"/>
        <v>1級</v>
      </c>
      <c r="F442" s="10" t="str">
        <f t="shared" si="13"/>
        <v>除外</v>
      </c>
      <c r="G442" s="13" t="s">
        <v>1458</v>
      </c>
      <c r="H442" s="14">
        <v>1309053</v>
      </c>
    </row>
    <row r="443" spans="1:8" ht="30" customHeight="1">
      <c r="A443" s="7">
        <v>437</v>
      </c>
      <c r="B443" s="9" t="s">
        <v>1459</v>
      </c>
      <c r="C443" s="9" t="s">
        <v>1460</v>
      </c>
      <c r="D443" s="8">
        <v>45957</v>
      </c>
      <c r="E443" s="10" t="str">
        <f t="shared" si="12"/>
        <v>1級</v>
      </c>
      <c r="F443" s="10" t="str">
        <f t="shared" si="13"/>
        <v>採用候補</v>
      </c>
      <c r="G443" s="13" t="s">
        <v>1461</v>
      </c>
      <c r="H443" s="14">
        <v>1308705</v>
      </c>
    </row>
    <row r="444" spans="1:8" ht="30" customHeight="1">
      <c r="A444" s="7">
        <v>438</v>
      </c>
      <c r="B444" s="9" t="s">
        <v>275</v>
      </c>
      <c r="C444" s="9" t="s">
        <v>276</v>
      </c>
      <c r="D444" s="8">
        <v>35321</v>
      </c>
      <c r="E444" s="10" t="str">
        <f t="shared" si="12"/>
        <v>1級</v>
      </c>
      <c r="F444" s="10" t="str">
        <f t="shared" si="13"/>
        <v>除外</v>
      </c>
      <c r="G444" s="13" t="s">
        <v>1462</v>
      </c>
      <c r="H444" s="14">
        <v>1307158</v>
      </c>
    </row>
    <row r="445" spans="1:8" ht="30" customHeight="1">
      <c r="A445" s="7">
        <v>439</v>
      </c>
      <c r="B445" s="9" t="s">
        <v>277</v>
      </c>
      <c r="C445" s="9" t="s">
        <v>278</v>
      </c>
      <c r="D445" s="8">
        <v>38889</v>
      </c>
      <c r="E445" s="10" t="str">
        <f t="shared" si="12"/>
        <v>1級</v>
      </c>
      <c r="F445" s="10" t="str">
        <f t="shared" si="13"/>
        <v>除外</v>
      </c>
      <c r="G445" s="13" t="s">
        <v>1463</v>
      </c>
      <c r="H445" s="14">
        <v>1306786</v>
      </c>
    </row>
    <row r="446" spans="1:8" ht="30" customHeight="1">
      <c r="A446" s="7">
        <v>440</v>
      </c>
      <c r="B446" s="9" t="s">
        <v>1464</v>
      </c>
      <c r="C446" s="9" t="s">
        <v>1007</v>
      </c>
      <c r="D446" s="8">
        <v>40891</v>
      </c>
      <c r="E446" s="10" t="str">
        <f t="shared" si="12"/>
        <v>1級</v>
      </c>
      <c r="F446" s="10" t="str">
        <f t="shared" si="13"/>
        <v>採用候補</v>
      </c>
      <c r="G446" s="13" t="s">
        <v>1465</v>
      </c>
      <c r="H446" s="14">
        <v>1306319</v>
      </c>
    </row>
    <row r="447" spans="1:8" ht="30" customHeight="1">
      <c r="A447" s="7">
        <v>441</v>
      </c>
      <c r="B447" s="9" t="s">
        <v>1466</v>
      </c>
      <c r="C447" s="9" t="s">
        <v>1467</v>
      </c>
      <c r="D447" s="8">
        <v>42788</v>
      </c>
      <c r="E447" s="10" t="str">
        <f t="shared" si="12"/>
        <v>1級</v>
      </c>
      <c r="F447" s="10" t="str">
        <f t="shared" si="13"/>
        <v>採用候補</v>
      </c>
      <c r="G447" s="13" t="s">
        <v>1468</v>
      </c>
      <c r="H447" s="14">
        <v>1305645</v>
      </c>
    </row>
    <row r="448" spans="1:8" ht="30" customHeight="1">
      <c r="A448" s="7">
        <v>442</v>
      </c>
      <c r="B448" s="9" t="s">
        <v>279</v>
      </c>
      <c r="C448" s="9" t="s">
        <v>280</v>
      </c>
      <c r="D448" s="8">
        <v>34584</v>
      </c>
      <c r="E448" s="10" t="str">
        <f t="shared" si="12"/>
        <v>1級</v>
      </c>
      <c r="F448" s="10" t="str">
        <f t="shared" si="13"/>
        <v>除外</v>
      </c>
      <c r="G448" s="13" t="s">
        <v>1469</v>
      </c>
      <c r="H448" s="14">
        <v>1305500</v>
      </c>
    </row>
    <row r="449" spans="1:8" ht="30" customHeight="1">
      <c r="A449" s="7">
        <v>443</v>
      </c>
      <c r="B449" s="9" t="s">
        <v>281</v>
      </c>
      <c r="C449" s="9" t="s">
        <v>183</v>
      </c>
      <c r="D449" s="8">
        <v>32075</v>
      </c>
      <c r="E449" s="10" t="str">
        <f t="shared" si="12"/>
        <v>1級</v>
      </c>
      <c r="F449" s="10" t="str">
        <f t="shared" si="13"/>
        <v>除外</v>
      </c>
      <c r="G449" s="13" t="s">
        <v>1470</v>
      </c>
      <c r="H449" s="14">
        <v>1300416</v>
      </c>
    </row>
    <row r="450" spans="1:8" ht="30" customHeight="1">
      <c r="A450" s="7">
        <v>444</v>
      </c>
      <c r="B450" s="9" t="s">
        <v>282</v>
      </c>
      <c r="C450" s="9" t="s">
        <v>283</v>
      </c>
      <c r="D450" s="8">
        <v>37734</v>
      </c>
      <c r="E450" s="10" t="str">
        <f t="shared" si="12"/>
        <v>1級</v>
      </c>
      <c r="F450" s="10" t="str">
        <f t="shared" si="13"/>
        <v>除外</v>
      </c>
      <c r="G450" s="13" t="s">
        <v>1471</v>
      </c>
      <c r="H450" s="14">
        <v>1300263</v>
      </c>
    </row>
    <row r="451" spans="1:8" ht="30" customHeight="1">
      <c r="A451" s="7">
        <v>445</v>
      </c>
      <c r="B451" s="9" t="s">
        <v>284</v>
      </c>
      <c r="C451" s="9" t="s">
        <v>247</v>
      </c>
      <c r="D451" s="8">
        <v>39771</v>
      </c>
      <c r="E451" s="10" t="str">
        <f t="shared" si="12"/>
        <v>1級</v>
      </c>
      <c r="F451" s="10" t="str">
        <f t="shared" si="13"/>
        <v>除外</v>
      </c>
      <c r="G451" s="13" t="s">
        <v>1472</v>
      </c>
      <c r="H451" s="14">
        <v>1299530</v>
      </c>
    </row>
    <row r="452" spans="1:8" ht="42" customHeight="1">
      <c r="A452" s="7">
        <v>446</v>
      </c>
      <c r="B452" s="9" t="s">
        <v>1473</v>
      </c>
      <c r="C452" s="9" t="s">
        <v>787</v>
      </c>
      <c r="D452" s="8">
        <v>44750</v>
      </c>
      <c r="E452" s="10" t="str">
        <f t="shared" si="12"/>
        <v>1級</v>
      </c>
      <c r="F452" s="10" t="str">
        <f t="shared" si="13"/>
        <v>採用候補</v>
      </c>
      <c r="G452" s="13" t="s">
        <v>1474</v>
      </c>
      <c r="H452" s="14">
        <v>1298882</v>
      </c>
    </row>
    <row r="453" spans="1:8" ht="30" customHeight="1">
      <c r="A453" s="7">
        <v>447</v>
      </c>
      <c r="B453" s="9" t="s">
        <v>1475</v>
      </c>
      <c r="C453" s="9" t="s">
        <v>714</v>
      </c>
      <c r="D453" s="8">
        <v>44559</v>
      </c>
      <c r="E453" s="10" t="str">
        <f t="shared" si="12"/>
        <v>1級</v>
      </c>
      <c r="F453" s="10" t="str">
        <f t="shared" si="13"/>
        <v>採用候補</v>
      </c>
      <c r="G453" s="13" t="s">
        <v>1476</v>
      </c>
      <c r="H453" s="14">
        <v>1298745</v>
      </c>
    </row>
    <row r="454" spans="1:8" ht="30" customHeight="1">
      <c r="A454" s="7">
        <v>448</v>
      </c>
      <c r="B454" s="9" t="s">
        <v>1477</v>
      </c>
      <c r="C454" s="9" t="s">
        <v>1478</v>
      </c>
      <c r="D454" s="8">
        <v>44650</v>
      </c>
      <c r="E454" s="10" t="str">
        <f t="shared" si="12"/>
        <v>1級</v>
      </c>
      <c r="F454" s="10" t="str">
        <f t="shared" si="13"/>
        <v>採用候補</v>
      </c>
      <c r="G454" s="13" t="s">
        <v>1479</v>
      </c>
      <c r="H454" s="14">
        <v>1296938</v>
      </c>
    </row>
    <row r="455" spans="1:8" ht="30" customHeight="1">
      <c r="A455" s="7">
        <v>449</v>
      </c>
      <c r="B455" s="9" t="s">
        <v>285</v>
      </c>
      <c r="C455" s="9" t="s">
        <v>134</v>
      </c>
      <c r="D455" s="8">
        <v>40030</v>
      </c>
      <c r="E455" s="10" t="str">
        <f t="shared" ref="E455:E518" si="14">CHOOSE(INT((A455-1)/100)+1,"5級","4級","3級","2級","1級","初段","二段","三段","四段","五段")</f>
        <v>1級</v>
      </c>
      <c r="F455" s="10" t="str">
        <f t="shared" ref="F455:F518" si="15">IF(D455&gt;=DATE(2010,1,1),"採用候補","除外")</f>
        <v>除外</v>
      </c>
      <c r="G455" s="13" t="s">
        <v>1480</v>
      </c>
      <c r="H455" s="14">
        <v>1296023</v>
      </c>
    </row>
    <row r="456" spans="1:8" ht="30" customHeight="1">
      <c r="A456" s="7">
        <v>450</v>
      </c>
      <c r="B456" s="9" t="s">
        <v>1481</v>
      </c>
      <c r="C456" s="9" t="s">
        <v>682</v>
      </c>
      <c r="D456" s="8">
        <v>41045</v>
      </c>
      <c r="E456" s="10" t="str">
        <f t="shared" si="14"/>
        <v>1級</v>
      </c>
      <c r="F456" s="10" t="str">
        <f t="shared" si="15"/>
        <v>採用候補</v>
      </c>
      <c r="G456" s="13" t="s">
        <v>1482</v>
      </c>
      <c r="H456" s="14">
        <v>1293629</v>
      </c>
    </row>
    <row r="457" spans="1:8" ht="30" customHeight="1">
      <c r="A457" s="7">
        <v>451</v>
      </c>
      <c r="B457" s="9" t="s">
        <v>286</v>
      </c>
      <c r="C457" s="9" t="s">
        <v>287</v>
      </c>
      <c r="D457" s="8">
        <v>37398</v>
      </c>
      <c r="E457" s="10" t="str">
        <f t="shared" si="14"/>
        <v>1級</v>
      </c>
      <c r="F457" s="10" t="str">
        <f t="shared" si="15"/>
        <v>除外</v>
      </c>
      <c r="G457" s="13" t="s">
        <v>1483</v>
      </c>
      <c r="H457" s="14">
        <v>1292145</v>
      </c>
    </row>
    <row r="458" spans="1:8" ht="30" customHeight="1">
      <c r="A458" s="7">
        <v>452</v>
      </c>
      <c r="B458" s="9" t="s">
        <v>288</v>
      </c>
      <c r="C458" s="9" t="s">
        <v>86</v>
      </c>
      <c r="D458" s="8">
        <v>36789</v>
      </c>
      <c r="E458" s="10" t="str">
        <f t="shared" si="14"/>
        <v>1級</v>
      </c>
      <c r="F458" s="10" t="str">
        <f t="shared" si="15"/>
        <v>除外</v>
      </c>
      <c r="G458" s="13" t="s">
        <v>1484</v>
      </c>
      <c r="H458" s="14">
        <v>1290550</v>
      </c>
    </row>
    <row r="459" spans="1:8" ht="30" customHeight="1">
      <c r="A459" s="7">
        <v>453</v>
      </c>
      <c r="B459" s="9" t="s">
        <v>289</v>
      </c>
      <c r="C459" s="9" t="s">
        <v>21</v>
      </c>
      <c r="D459" s="8">
        <v>37825</v>
      </c>
      <c r="E459" s="10" t="str">
        <f t="shared" si="14"/>
        <v>1級</v>
      </c>
      <c r="F459" s="10" t="str">
        <f t="shared" si="15"/>
        <v>除外</v>
      </c>
      <c r="G459" s="13" t="s">
        <v>1485</v>
      </c>
      <c r="H459" s="14">
        <v>1290460</v>
      </c>
    </row>
    <row r="460" spans="1:8" ht="30" customHeight="1">
      <c r="A460" s="7">
        <v>454</v>
      </c>
      <c r="B460" s="9" t="s">
        <v>290</v>
      </c>
      <c r="C460" s="9" t="s">
        <v>88</v>
      </c>
      <c r="D460" s="8">
        <v>32319</v>
      </c>
      <c r="E460" s="10" t="str">
        <f t="shared" si="14"/>
        <v>1級</v>
      </c>
      <c r="F460" s="10" t="str">
        <f t="shared" si="15"/>
        <v>除外</v>
      </c>
      <c r="G460" s="13" t="s">
        <v>1486</v>
      </c>
      <c r="H460" s="14">
        <v>1289593</v>
      </c>
    </row>
    <row r="461" spans="1:8" ht="30" customHeight="1">
      <c r="A461" s="7">
        <v>455</v>
      </c>
      <c r="B461" s="9" t="s">
        <v>291</v>
      </c>
      <c r="C461" s="9" t="s">
        <v>292</v>
      </c>
      <c r="D461" s="8">
        <v>33990</v>
      </c>
      <c r="E461" s="10" t="str">
        <f t="shared" si="14"/>
        <v>1級</v>
      </c>
      <c r="F461" s="10" t="str">
        <f t="shared" si="15"/>
        <v>除外</v>
      </c>
      <c r="G461" s="13" t="s">
        <v>1487</v>
      </c>
      <c r="H461" s="14">
        <v>1289353</v>
      </c>
    </row>
    <row r="462" spans="1:8" ht="30" customHeight="1">
      <c r="A462" s="7">
        <v>456</v>
      </c>
      <c r="B462" s="9" t="s">
        <v>1488</v>
      </c>
      <c r="C462" s="9" t="s">
        <v>679</v>
      </c>
      <c r="D462" s="8">
        <v>44858</v>
      </c>
      <c r="E462" s="10" t="str">
        <f t="shared" si="14"/>
        <v>1級</v>
      </c>
      <c r="F462" s="10" t="str">
        <f t="shared" si="15"/>
        <v>採用候補</v>
      </c>
      <c r="G462" s="13" t="s">
        <v>1489</v>
      </c>
      <c r="H462" s="14">
        <v>1287240</v>
      </c>
    </row>
    <row r="463" spans="1:8" ht="30" customHeight="1">
      <c r="A463" s="7">
        <v>457</v>
      </c>
      <c r="B463" s="9" t="s">
        <v>1490</v>
      </c>
      <c r="C463" s="9" t="s">
        <v>1025</v>
      </c>
      <c r="D463" s="8">
        <v>43229</v>
      </c>
      <c r="E463" s="10" t="str">
        <f t="shared" si="14"/>
        <v>1級</v>
      </c>
      <c r="F463" s="10" t="str">
        <f t="shared" si="15"/>
        <v>採用候補</v>
      </c>
      <c r="G463" s="13" t="s">
        <v>1491</v>
      </c>
      <c r="H463" s="14">
        <v>1283715</v>
      </c>
    </row>
    <row r="464" spans="1:8" ht="30" customHeight="1">
      <c r="A464" s="7">
        <v>458</v>
      </c>
      <c r="B464" s="9" t="s">
        <v>293</v>
      </c>
      <c r="C464" s="9" t="s">
        <v>294</v>
      </c>
      <c r="D464" s="8">
        <v>38490</v>
      </c>
      <c r="E464" s="10" t="str">
        <f t="shared" si="14"/>
        <v>1級</v>
      </c>
      <c r="F464" s="10" t="str">
        <f t="shared" si="15"/>
        <v>除外</v>
      </c>
      <c r="G464" s="13" t="s">
        <v>1492</v>
      </c>
      <c r="H464" s="14">
        <v>1283284</v>
      </c>
    </row>
    <row r="465" spans="1:8" ht="30" customHeight="1">
      <c r="A465" s="7">
        <v>459</v>
      </c>
      <c r="B465" s="9" t="s">
        <v>1493</v>
      </c>
      <c r="C465" s="9" t="s">
        <v>1494</v>
      </c>
      <c r="D465" s="8">
        <v>40919</v>
      </c>
      <c r="E465" s="10" t="str">
        <f t="shared" si="14"/>
        <v>1級</v>
      </c>
      <c r="F465" s="10" t="str">
        <f t="shared" si="15"/>
        <v>採用候補</v>
      </c>
      <c r="G465" s="13" t="s">
        <v>1495</v>
      </c>
      <c r="H465" s="14">
        <v>1281332</v>
      </c>
    </row>
    <row r="466" spans="1:8" ht="30" customHeight="1">
      <c r="A466" s="7">
        <v>460</v>
      </c>
      <c r="B466" s="9" t="s">
        <v>1496</v>
      </c>
      <c r="C466" s="9" t="s">
        <v>1497</v>
      </c>
      <c r="D466" s="8">
        <v>45126</v>
      </c>
      <c r="E466" s="10" t="str">
        <f t="shared" si="14"/>
        <v>1級</v>
      </c>
      <c r="F466" s="10" t="str">
        <f t="shared" si="15"/>
        <v>採用候補</v>
      </c>
      <c r="G466" s="13" t="s">
        <v>1498</v>
      </c>
      <c r="H466" s="14">
        <v>1279740</v>
      </c>
    </row>
    <row r="467" spans="1:8" ht="30" customHeight="1">
      <c r="A467" s="7">
        <v>461</v>
      </c>
      <c r="B467" s="9" t="s">
        <v>295</v>
      </c>
      <c r="C467" s="9" t="s">
        <v>29</v>
      </c>
      <c r="D467" s="8">
        <v>39925</v>
      </c>
      <c r="E467" s="10" t="str">
        <f t="shared" si="14"/>
        <v>1級</v>
      </c>
      <c r="F467" s="10" t="str">
        <f t="shared" si="15"/>
        <v>除外</v>
      </c>
      <c r="G467" s="13" t="s">
        <v>1499</v>
      </c>
      <c r="H467" s="14">
        <v>1278484</v>
      </c>
    </row>
    <row r="468" spans="1:8" ht="30" customHeight="1">
      <c r="A468" s="7">
        <v>462</v>
      </c>
      <c r="B468" s="9" t="s">
        <v>296</v>
      </c>
      <c r="C468" s="9" t="s">
        <v>297</v>
      </c>
      <c r="D468" s="8">
        <v>36747</v>
      </c>
      <c r="E468" s="10" t="str">
        <f t="shared" si="14"/>
        <v>1級</v>
      </c>
      <c r="F468" s="10" t="str">
        <f t="shared" si="15"/>
        <v>除外</v>
      </c>
      <c r="G468" s="13" t="s">
        <v>1500</v>
      </c>
      <c r="H468" s="14">
        <v>1276831</v>
      </c>
    </row>
    <row r="469" spans="1:8" ht="30" customHeight="1">
      <c r="A469" s="7">
        <v>463</v>
      </c>
      <c r="B469" s="9" t="s">
        <v>298</v>
      </c>
      <c r="C469" s="9" t="s">
        <v>216</v>
      </c>
      <c r="D469" s="8">
        <v>39715</v>
      </c>
      <c r="E469" s="10" t="str">
        <f t="shared" si="14"/>
        <v>1級</v>
      </c>
      <c r="F469" s="10" t="str">
        <f t="shared" si="15"/>
        <v>除外</v>
      </c>
      <c r="G469" s="13" t="s">
        <v>1501</v>
      </c>
      <c r="H469" s="14">
        <v>1272861</v>
      </c>
    </row>
    <row r="470" spans="1:8" ht="30" customHeight="1">
      <c r="A470" s="7">
        <v>464</v>
      </c>
      <c r="B470" s="9" t="s">
        <v>49</v>
      </c>
      <c r="C470" s="9" t="s">
        <v>12</v>
      </c>
      <c r="D470" s="8">
        <v>39099</v>
      </c>
      <c r="E470" s="10" t="str">
        <f t="shared" si="14"/>
        <v>1級</v>
      </c>
      <c r="F470" s="10" t="str">
        <f t="shared" si="15"/>
        <v>除外</v>
      </c>
      <c r="G470" s="13" t="s">
        <v>1502</v>
      </c>
      <c r="H470" s="14">
        <v>1272373</v>
      </c>
    </row>
    <row r="471" spans="1:8" ht="30" customHeight="1">
      <c r="A471" s="7">
        <v>465</v>
      </c>
      <c r="B471" s="9" t="s">
        <v>1503</v>
      </c>
      <c r="C471" s="9" t="s">
        <v>1504</v>
      </c>
      <c r="D471" s="8">
        <v>42165</v>
      </c>
      <c r="E471" s="10" t="str">
        <f t="shared" si="14"/>
        <v>1級</v>
      </c>
      <c r="F471" s="10" t="str">
        <f t="shared" si="15"/>
        <v>採用候補</v>
      </c>
      <c r="G471" s="13" t="s">
        <v>1505</v>
      </c>
      <c r="H471" s="14">
        <v>1271929</v>
      </c>
    </row>
    <row r="472" spans="1:8" ht="30" customHeight="1">
      <c r="A472" s="7">
        <v>466</v>
      </c>
      <c r="B472" s="9" t="s">
        <v>299</v>
      </c>
      <c r="C472" s="9" t="s">
        <v>227</v>
      </c>
      <c r="D472" s="8">
        <v>33373</v>
      </c>
      <c r="E472" s="10" t="str">
        <f t="shared" si="14"/>
        <v>1級</v>
      </c>
      <c r="F472" s="10" t="str">
        <f t="shared" si="15"/>
        <v>除外</v>
      </c>
      <c r="G472" s="13" t="s">
        <v>1506</v>
      </c>
      <c r="H472" s="14">
        <v>1271462</v>
      </c>
    </row>
    <row r="473" spans="1:8" ht="30" customHeight="1">
      <c r="A473" s="7">
        <v>467</v>
      </c>
      <c r="B473" s="9" t="s">
        <v>300</v>
      </c>
      <c r="C473" s="9" t="s">
        <v>12</v>
      </c>
      <c r="D473" s="8">
        <v>39841</v>
      </c>
      <c r="E473" s="10" t="str">
        <f t="shared" si="14"/>
        <v>1級</v>
      </c>
      <c r="F473" s="10" t="str">
        <f t="shared" si="15"/>
        <v>除外</v>
      </c>
      <c r="G473" s="13" t="s">
        <v>1507</v>
      </c>
      <c r="H473" s="14">
        <v>1269697</v>
      </c>
    </row>
    <row r="474" spans="1:8" ht="30" customHeight="1">
      <c r="A474" s="7">
        <v>468</v>
      </c>
      <c r="B474" s="9" t="s">
        <v>301</v>
      </c>
      <c r="C474" s="9" t="s">
        <v>153</v>
      </c>
      <c r="D474" s="8">
        <v>36460</v>
      </c>
      <c r="E474" s="10" t="str">
        <f t="shared" si="14"/>
        <v>1級</v>
      </c>
      <c r="F474" s="10" t="str">
        <f t="shared" si="15"/>
        <v>除外</v>
      </c>
      <c r="G474" s="13" t="s">
        <v>1508</v>
      </c>
      <c r="H474" s="14">
        <v>1267247</v>
      </c>
    </row>
    <row r="475" spans="1:8" ht="30" customHeight="1">
      <c r="A475" s="7">
        <v>469</v>
      </c>
      <c r="B475" s="9" t="s">
        <v>1509</v>
      </c>
      <c r="C475" s="9" t="s">
        <v>1158</v>
      </c>
      <c r="D475" s="8">
        <v>41395</v>
      </c>
      <c r="E475" s="10" t="str">
        <f t="shared" si="14"/>
        <v>1級</v>
      </c>
      <c r="F475" s="10" t="str">
        <f t="shared" si="15"/>
        <v>採用候補</v>
      </c>
      <c r="G475" s="13" t="s">
        <v>1510</v>
      </c>
      <c r="H475" s="14">
        <v>1264357</v>
      </c>
    </row>
    <row r="476" spans="1:8" ht="30" customHeight="1">
      <c r="A476" s="7">
        <v>470</v>
      </c>
      <c r="B476" s="9" t="s">
        <v>1511</v>
      </c>
      <c r="C476" s="9" t="s">
        <v>682</v>
      </c>
      <c r="D476" s="8">
        <v>42284</v>
      </c>
      <c r="E476" s="10" t="str">
        <f t="shared" si="14"/>
        <v>1級</v>
      </c>
      <c r="F476" s="10" t="str">
        <f t="shared" si="15"/>
        <v>採用候補</v>
      </c>
      <c r="G476" s="13" t="s">
        <v>1512</v>
      </c>
      <c r="H476" s="14">
        <v>1263953</v>
      </c>
    </row>
    <row r="477" spans="1:8" ht="30" customHeight="1">
      <c r="A477" s="7">
        <v>471</v>
      </c>
      <c r="B477" s="9" t="s">
        <v>1513</v>
      </c>
      <c r="C477" s="9" t="s">
        <v>1514</v>
      </c>
      <c r="D477" s="8">
        <v>41780</v>
      </c>
      <c r="E477" s="10" t="str">
        <f t="shared" si="14"/>
        <v>1級</v>
      </c>
      <c r="F477" s="10" t="str">
        <f t="shared" si="15"/>
        <v>採用候補</v>
      </c>
      <c r="G477" s="13" t="s">
        <v>1515</v>
      </c>
      <c r="H477" s="14">
        <v>1263150</v>
      </c>
    </row>
    <row r="478" spans="1:8" ht="42" customHeight="1">
      <c r="A478" s="7">
        <v>472</v>
      </c>
      <c r="B478" s="9" t="s">
        <v>1516</v>
      </c>
      <c r="C478" s="9" t="s">
        <v>787</v>
      </c>
      <c r="D478" s="8">
        <v>46034</v>
      </c>
      <c r="E478" s="10" t="str">
        <f t="shared" si="14"/>
        <v>1級</v>
      </c>
      <c r="F478" s="10" t="str">
        <f t="shared" si="15"/>
        <v>採用候補</v>
      </c>
      <c r="G478" s="13" t="s">
        <v>1517</v>
      </c>
      <c r="H478" s="14">
        <v>1261186</v>
      </c>
    </row>
    <row r="479" spans="1:8" ht="42" customHeight="1">
      <c r="A479" s="7">
        <v>473</v>
      </c>
      <c r="B479" s="9" t="s">
        <v>1518</v>
      </c>
      <c r="C479" s="9" t="s">
        <v>787</v>
      </c>
      <c r="D479" s="8">
        <v>45779</v>
      </c>
      <c r="E479" s="10" t="str">
        <f t="shared" si="14"/>
        <v>1級</v>
      </c>
      <c r="F479" s="10" t="str">
        <f t="shared" si="15"/>
        <v>採用候補</v>
      </c>
      <c r="G479" s="13" t="s">
        <v>1519</v>
      </c>
      <c r="H479" s="14">
        <v>1260479</v>
      </c>
    </row>
    <row r="480" spans="1:8" ht="30" customHeight="1">
      <c r="A480" s="7">
        <v>474</v>
      </c>
      <c r="B480" s="9" t="s">
        <v>1520</v>
      </c>
      <c r="C480" s="9" t="s">
        <v>775</v>
      </c>
      <c r="D480" s="8">
        <v>42319</v>
      </c>
      <c r="E480" s="10" t="str">
        <f t="shared" si="14"/>
        <v>1級</v>
      </c>
      <c r="F480" s="10" t="str">
        <f t="shared" si="15"/>
        <v>採用候補</v>
      </c>
      <c r="G480" s="13" t="s">
        <v>1521</v>
      </c>
      <c r="H480" s="14">
        <v>1260350</v>
      </c>
    </row>
    <row r="481" spans="1:8" ht="30" customHeight="1">
      <c r="A481" s="7">
        <v>475</v>
      </c>
      <c r="B481" s="9" t="s">
        <v>1522</v>
      </c>
      <c r="C481" s="9" t="s">
        <v>12</v>
      </c>
      <c r="D481" s="8">
        <v>41381</v>
      </c>
      <c r="E481" s="10" t="str">
        <f t="shared" si="14"/>
        <v>1級</v>
      </c>
      <c r="F481" s="10" t="str">
        <f t="shared" si="15"/>
        <v>採用候補</v>
      </c>
      <c r="G481" s="13" t="s">
        <v>1523</v>
      </c>
      <c r="H481" s="14">
        <v>1259125</v>
      </c>
    </row>
    <row r="482" spans="1:8" ht="30" customHeight="1">
      <c r="A482" s="7">
        <v>476</v>
      </c>
      <c r="B482" s="9" t="s">
        <v>302</v>
      </c>
      <c r="C482" s="9" t="s">
        <v>83</v>
      </c>
      <c r="D482" s="8">
        <v>39141</v>
      </c>
      <c r="E482" s="10" t="str">
        <f t="shared" si="14"/>
        <v>1級</v>
      </c>
      <c r="F482" s="10" t="str">
        <f t="shared" si="15"/>
        <v>除外</v>
      </c>
      <c r="G482" s="13" t="s">
        <v>1524</v>
      </c>
      <c r="H482" s="14">
        <v>1257987</v>
      </c>
    </row>
    <row r="483" spans="1:8" ht="30" customHeight="1">
      <c r="A483" s="7">
        <v>477</v>
      </c>
      <c r="B483" s="9" t="s">
        <v>303</v>
      </c>
      <c r="C483" s="9" t="s">
        <v>304</v>
      </c>
      <c r="D483" s="8">
        <v>33870</v>
      </c>
      <c r="E483" s="10" t="str">
        <f t="shared" si="14"/>
        <v>1級</v>
      </c>
      <c r="F483" s="10" t="str">
        <f t="shared" si="15"/>
        <v>除外</v>
      </c>
      <c r="G483" s="13" t="s">
        <v>1525</v>
      </c>
      <c r="H483" s="14">
        <v>1257961</v>
      </c>
    </row>
    <row r="484" spans="1:8" ht="30" customHeight="1">
      <c r="A484" s="7">
        <v>478</v>
      </c>
      <c r="B484" s="9" t="s">
        <v>305</v>
      </c>
      <c r="C484" s="9" t="s">
        <v>306</v>
      </c>
      <c r="D484" s="8">
        <v>35268</v>
      </c>
      <c r="E484" s="10" t="str">
        <f t="shared" si="14"/>
        <v>1級</v>
      </c>
      <c r="F484" s="10" t="str">
        <f t="shared" si="15"/>
        <v>除外</v>
      </c>
      <c r="G484" s="13" t="s">
        <v>1526</v>
      </c>
      <c r="H484" s="14">
        <v>1257218</v>
      </c>
    </row>
    <row r="485" spans="1:8" ht="30" customHeight="1">
      <c r="A485" s="7">
        <v>479</v>
      </c>
      <c r="B485" s="9" t="s">
        <v>1527</v>
      </c>
      <c r="C485" s="9" t="s">
        <v>1410</v>
      </c>
      <c r="D485" s="8">
        <v>41577</v>
      </c>
      <c r="E485" s="10" t="str">
        <f t="shared" si="14"/>
        <v>1級</v>
      </c>
      <c r="F485" s="10" t="str">
        <f t="shared" si="15"/>
        <v>採用候補</v>
      </c>
      <c r="G485" s="13" t="s">
        <v>1528</v>
      </c>
      <c r="H485" s="14">
        <v>1256336</v>
      </c>
    </row>
    <row r="486" spans="1:8" ht="30" customHeight="1">
      <c r="A486" s="7">
        <v>480</v>
      </c>
      <c r="B486" s="9" t="s">
        <v>1529</v>
      </c>
      <c r="C486" s="9" t="s">
        <v>70</v>
      </c>
      <c r="D486" s="8">
        <v>44139</v>
      </c>
      <c r="E486" s="10" t="str">
        <f t="shared" si="14"/>
        <v>1級</v>
      </c>
      <c r="F486" s="10" t="str">
        <f t="shared" si="15"/>
        <v>採用候補</v>
      </c>
      <c r="G486" s="13" t="s">
        <v>1530</v>
      </c>
      <c r="H486" s="14">
        <v>1254106</v>
      </c>
    </row>
    <row r="487" spans="1:8" ht="30" customHeight="1">
      <c r="A487" s="7">
        <v>481</v>
      </c>
      <c r="B487" s="9" t="s">
        <v>307</v>
      </c>
      <c r="C487" s="9" t="s">
        <v>308</v>
      </c>
      <c r="D487" s="8">
        <v>34141</v>
      </c>
      <c r="E487" s="10" t="str">
        <f t="shared" si="14"/>
        <v>1級</v>
      </c>
      <c r="F487" s="10" t="str">
        <f t="shared" si="15"/>
        <v>除外</v>
      </c>
      <c r="G487" s="13" t="s">
        <v>1531</v>
      </c>
      <c r="H487" s="14">
        <v>1252757</v>
      </c>
    </row>
    <row r="488" spans="1:8" ht="30" customHeight="1">
      <c r="A488" s="7">
        <v>482</v>
      </c>
      <c r="B488" s="9" t="s">
        <v>1532</v>
      </c>
      <c r="C488" s="9" t="s">
        <v>1434</v>
      </c>
      <c r="D488" s="8">
        <v>41423</v>
      </c>
      <c r="E488" s="10" t="str">
        <f t="shared" si="14"/>
        <v>1級</v>
      </c>
      <c r="F488" s="10" t="str">
        <f t="shared" si="15"/>
        <v>採用候補</v>
      </c>
      <c r="G488" s="13" t="s">
        <v>1533</v>
      </c>
      <c r="H488" s="14">
        <v>1248892</v>
      </c>
    </row>
    <row r="489" spans="1:8" ht="42" customHeight="1">
      <c r="A489" s="7">
        <v>483</v>
      </c>
      <c r="B489" s="9" t="s">
        <v>309</v>
      </c>
      <c r="C489" s="9" t="s">
        <v>310</v>
      </c>
      <c r="D489" s="8">
        <v>39652</v>
      </c>
      <c r="E489" s="10" t="str">
        <f t="shared" si="14"/>
        <v>1級</v>
      </c>
      <c r="F489" s="10" t="str">
        <f t="shared" si="15"/>
        <v>除外</v>
      </c>
      <c r="G489" s="13" t="s">
        <v>1534</v>
      </c>
      <c r="H489" s="14">
        <v>1247699</v>
      </c>
    </row>
    <row r="490" spans="1:8" ht="30" customHeight="1">
      <c r="A490" s="7">
        <v>484</v>
      </c>
      <c r="B490" s="9" t="s">
        <v>311</v>
      </c>
      <c r="C490" s="9" t="s">
        <v>233</v>
      </c>
      <c r="D490" s="8">
        <v>34631</v>
      </c>
      <c r="E490" s="10" t="str">
        <f t="shared" si="14"/>
        <v>1級</v>
      </c>
      <c r="F490" s="10" t="str">
        <f t="shared" si="15"/>
        <v>除外</v>
      </c>
      <c r="G490" s="13" t="s">
        <v>1535</v>
      </c>
      <c r="H490" s="14">
        <v>1244932</v>
      </c>
    </row>
    <row r="491" spans="1:8" ht="30" customHeight="1">
      <c r="A491" s="7">
        <v>485</v>
      </c>
      <c r="B491" s="9" t="s">
        <v>312</v>
      </c>
      <c r="C491" s="9" t="s">
        <v>313</v>
      </c>
      <c r="D491" s="8">
        <v>38168</v>
      </c>
      <c r="E491" s="10" t="str">
        <f t="shared" si="14"/>
        <v>1級</v>
      </c>
      <c r="F491" s="10" t="str">
        <f t="shared" si="15"/>
        <v>除外</v>
      </c>
      <c r="G491" s="13" t="s">
        <v>1536</v>
      </c>
      <c r="H491" s="14">
        <v>1242264</v>
      </c>
    </row>
    <row r="492" spans="1:8" ht="30" customHeight="1">
      <c r="A492" s="7">
        <v>486</v>
      </c>
      <c r="B492" s="9" t="s">
        <v>1537</v>
      </c>
      <c r="C492" s="9" t="s">
        <v>1538</v>
      </c>
      <c r="D492" s="8">
        <v>40702</v>
      </c>
      <c r="E492" s="10" t="str">
        <f t="shared" si="14"/>
        <v>1級</v>
      </c>
      <c r="F492" s="10" t="str">
        <f t="shared" si="15"/>
        <v>採用候補</v>
      </c>
      <c r="G492" s="13" t="s">
        <v>1539</v>
      </c>
      <c r="H492" s="14">
        <v>1241934</v>
      </c>
    </row>
    <row r="493" spans="1:8" ht="30" customHeight="1">
      <c r="A493" s="7">
        <v>487</v>
      </c>
      <c r="B493" s="9" t="s">
        <v>1540</v>
      </c>
      <c r="C493" s="9" t="s">
        <v>1541</v>
      </c>
      <c r="D493" s="8">
        <v>45714</v>
      </c>
      <c r="E493" s="10" t="str">
        <f t="shared" si="14"/>
        <v>1級</v>
      </c>
      <c r="F493" s="10" t="str">
        <f t="shared" si="15"/>
        <v>採用候補</v>
      </c>
      <c r="G493" s="13" t="s">
        <v>1542</v>
      </c>
      <c r="H493" s="14">
        <v>1239971</v>
      </c>
    </row>
    <row r="494" spans="1:8" ht="30" customHeight="1">
      <c r="A494" s="7">
        <v>488</v>
      </c>
      <c r="B494" s="9" t="s">
        <v>1543</v>
      </c>
      <c r="C494" s="9" t="s">
        <v>155</v>
      </c>
      <c r="D494" s="8">
        <v>40681</v>
      </c>
      <c r="E494" s="10" t="str">
        <f t="shared" si="14"/>
        <v>1級</v>
      </c>
      <c r="F494" s="10" t="str">
        <f t="shared" si="15"/>
        <v>採用候補</v>
      </c>
      <c r="G494" s="13" t="s">
        <v>1544</v>
      </c>
      <c r="H494" s="14">
        <v>1239335</v>
      </c>
    </row>
    <row r="495" spans="1:8" ht="30" customHeight="1">
      <c r="A495" s="7">
        <v>489</v>
      </c>
      <c r="B495" s="9" t="s">
        <v>314</v>
      </c>
      <c r="C495" s="9" t="s">
        <v>12</v>
      </c>
      <c r="D495" s="8">
        <v>39785</v>
      </c>
      <c r="E495" s="10" t="str">
        <f t="shared" si="14"/>
        <v>1級</v>
      </c>
      <c r="F495" s="10" t="str">
        <f t="shared" si="15"/>
        <v>除外</v>
      </c>
      <c r="G495" s="13" t="s">
        <v>1545</v>
      </c>
      <c r="H495" s="14">
        <v>1238631</v>
      </c>
    </row>
    <row r="496" spans="1:8" ht="30" customHeight="1">
      <c r="A496" s="7">
        <v>490</v>
      </c>
      <c r="B496" s="9" t="s">
        <v>315</v>
      </c>
      <c r="C496" s="9" t="s">
        <v>316</v>
      </c>
      <c r="D496" s="8">
        <v>36978</v>
      </c>
      <c r="E496" s="10" t="str">
        <f t="shared" si="14"/>
        <v>1級</v>
      </c>
      <c r="F496" s="10" t="str">
        <f t="shared" si="15"/>
        <v>除外</v>
      </c>
      <c r="G496" s="13" t="s">
        <v>1546</v>
      </c>
      <c r="H496" s="14">
        <v>1236850</v>
      </c>
    </row>
    <row r="497" spans="1:8" ht="30" customHeight="1">
      <c r="A497" s="7">
        <v>491</v>
      </c>
      <c r="B497" s="9" t="s">
        <v>317</v>
      </c>
      <c r="C497" s="9" t="s">
        <v>318</v>
      </c>
      <c r="D497" s="8">
        <v>34102</v>
      </c>
      <c r="E497" s="10" t="str">
        <f t="shared" si="14"/>
        <v>1級</v>
      </c>
      <c r="F497" s="10" t="str">
        <f t="shared" si="15"/>
        <v>除外</v>
      </c>
      <c r="G497" s="13" t="s">
        <v>1547</v>
      </c>
      <c r="H497" s="14">
        <v>1234210</v>
      </c>
    </row>
    <row r="498" spans="1:8" ht="30" customHeight="1">
      <c r="A498" s="7">
        <v>492</v>
      </c>
      <c r="B498" s="9" t="s">
        <v>1548</v>
      </c>
      <c r="C498" s="9" t="s">
        <v>1549</v>
      </c>
      <c r="D498" s="8">
        <v>41052</v>
      </c>
      <c r="E498" s="10" t="str">
        <f t="shared" si="14"/>
        <v>1級</v>
      </c>
      <c r="F498" s="10" t="str">
        <f t="shared" si="15"/>
        <v>採用候補</v>
      </c>
      <c r="G498" s="13" t="s">
        <v>1550</v>
      </c>
      <c r="H498" s="14">
        <v>1234173</v>
      </c>
    </row>
    <row r="499" spans="1:8" ht="30" customHeight="1">
      <c r="A499" s="7">
        <v>493</v>
      </c>
      <c r="B499" s="9" t="s">
        <v>1551</v>
      </c>
      <c r="C499" s="9" t="s">
        <v>1386</v>
      </c>
      <c r="D499" s="8">
        <v>43868</v>
      </c>
      <c r="E499" s="10" t="str">
        <f t="shared" si="14"/>
        <v>1級</v>
      </c>
      <c r="F499" s="10" t="str">
        <f t="shared" si="15"/>
        <v>採用候補</v>
      </c>
      <c r="G499" s="13" t="s">
        <v>1552</v>
      </c>
      <c r="H499" s="14">
        <v>1233532</v>
      </c>
    </row>
    <row r="500" spans="1:8" ht="30" customHeight="1">
      <c r="A500" s="7">
        <v>494</v>
      </c>
      <c r="B500" s="9" t="s">
        <v>1553</v>
      </c>
      <c r="C500" s="9" t="s">
        <v>440</v>
      </c>
      <c r="D500" s="8">
        <v>42305</v>
      </c>
      <c r="E500" s="10" t="str">
        <f t="shared" si="14"/>
        <v>1級</v>
      </c>
      <c r="F500" s="10" t="str">
        <f t="shared" si="15"/>
        <v>採用候補</v>
      </c>
      <c r="G500" s="13" t="s">
        <v>1554</v>
      </c>
      <c r="H500" s="14">
        <v>1233298</v>
      </c>
    </row>
    <row r="501" spans="1:8" ht="30" customHeight="1">
      <c r="A501" s="7">
        <v>495</v>
      </c>
      <c r="B501" s="9" t="s">
        <v>319</v>
      </c>
      <c r="C501" s="9" t="s">
        <v>320</v>
      </c>
      <c r="D501" s="8">
        <v>38665</v>
      </c>
      <c r="E501" s="10" t="str">
        <f t="shared" si="14"/>
        <v>1級</v>
      </c>
      <c r="F501" s="10" t="str">
        <f t="shared" si="15"/>
        <v>除外</v>
      </c>
      <c r="G501" s="13" t="s">
        <v>1555</v>
      </c>
      <c r="H501" s="14">
        <v>1231428</v>
      </c>
    </row>
    <row r="502" spans="1:8" ht="30" customHeight="1">
      <c r="A502" s="7">
        <v>496</v>
      </c>
      <c r="B502" s="9" t="s">
        <v>321</v>
      </c>
      <c r="C502" s="9" t="s">
        <v>322</v>
      </c>
      <c r="D502" s="8">
        <v>39869</v>
      </c>
      <c r="E502" s="10" t="str">
        <f t="shared" si="14"/>
        <v>1級</v>
      </c>
      <c r="F502" s="10" t="str">
        <f t="shared" si="15"/>
        <v>除外</v>
      </c>
      <c r="G502" s="13" t="s">
        <v>1556</v>
      </c>
      <c r="H502" s="14">
        <v>1230807</v>
      </c>
    </row>
    <row r="503" spans="1:8" ht="30" customHeight="1">
      <c r="A503" s="7">
        <v>497</v>
      </c>
      <c r="B503" s="9" t="s">
        <v>1557</v>
      </c>
      <c r="C503" s="9" t="s">
        <v>45</v>
      </c>
      <c r="D503" s="8">
        <v>44041</v>
      </c>
      <c r="E503" s="10" t="str">
        <f t="shared" si="14"/>
        <v>1級</v>
      </c>
      <c r="F503" s="10" t="str">
        <f t="shared" si="15"/>
        <v>採用候補</v>
      </c>
      <c r="G503" s="13" t="s">
        <v>1558</v>
      </c>
      <c r="H503" s="14">
        <v>1230003</v>
      </c>
    </row>
    <row r="504" spans="1:8" ht="30" customHeight="1">
      <c r="A504" s="7">
        <v>498</v>
      </c>
      <c r="B504" s="9" t="s">
        <v>1559</v>
      </c>
      <c r="C504" s="9" t="s">
        <v>25</v>
      </c>
      <c r="D504" s="8">
        <v>45028</v>
      </c>
      <c r="E504" s="10" t="str">
        <f t="shared" si="14"/>
        <v>1級</v>
      </c>
      <c r="F504" s="10" t="str">
        <f t="shared" si="15"/>
        <v>採用候補</v>
      </c>
      <c r="G504" s="13" t="s">
        <v>1560</v>
      </c>
      <c r="H504" s="14">
        <v>1229111</v>
      </c>
    </row>
    <row r="505" spans="1:8" ht="30" customHeight="1">
      <c r="A505" s="7">
        <v>499</v>
      </c>
      <c r="B505" s="9" t="s">
        <v>323</v>
      </c>
      <c r="C505" s="9" t="s">
        <v>264</v>
      </c>
      <c r="D505" s="8">
        <v>37972</v>
      </c>
      <c r="E505" s="10" t="str">
        <f t="shared" si="14"/>
        <v>1級</v>
      </c>
      <c r="F505" s="10" t="str">
        <f t="shared" si="15"/>
        <v>除外</v>
      </c>
      <c r="G505" s="13" t="s">
        <v>1561</v>
      </c>
      <c r="H505" s="14">
        <v>1225979</v>
      </c>
    </row>
    <row r="506" spans="1:8" ht="60" customHeight="1">
      <c r="A506" s="7">
        <v>500</v>
      </c>
      <c r="B506" s="9" t="s">
        <v>1562</v>
      </c>
      <c r="C506" s="9" t="s">
        <v>1563</v>
      </c>
      <c r="D506" s="8">
        <v>41843</v>
      </c>
      <c r="E506" s="10" t="str">
        <f t="shared" si="14"/>
        <v>1級</v>
      </c>
      <c r="F506" s="10" t="str">
        <f t="shared" si="15"/>
        <v>採用候補</v>
      </c>
      <c r="G506" s="13" t="s">
        <v>1564</v>
      </c>
      <c r="H506" s="14">
        <v>1224054</v>
      </c>
    </row>
    <row r="507" spans="1:8" ht="30" customHeight="1">
      <c r="A507" s="7">
        <v>501</v>
      </c>
      <c r="B507" s="9" t="s">
        <v>1565</v>
      </c>
      <c r="C507" s="9" t="s">
        <v>45</v>
      </c>
      <c r="D507" s="8">
        <v>41759</v>
      </c>
      <c r="E507" s="10" t="str">
        <f t="shared" si="14"/>
        <v>初段</v>
      </c>
      <c r="F507" s="10" t="str">
        <f t="shared" si="15"/>
        <v>採用候補</v>
      </c>
      <c r="G507" s="13" t="s">
        <v>1566</v>
      </c>
      <c r="H507" s="14">
        <v>1223832</v>
      </c>
    </row>
    <row r="508" spans="1:8" ht="30" customHeight="1">
      <c r="A508" s="7">
        <v>502</v>
      </c>
      <c r="B508" s="9" t="s">
        <v>324</v>
      </c>
      <c r="C508" s="9" t="s">
        <v>35</v>
      </c>
      <c r="D508" s="8">
        <v>38707</v>
      </c>
      <c r="E508" s="10" t="str">
        <f t="shared" si="14"/>
        <v>初段</v>
      </c>
      <c r="F508" s="10" t="str">
        <f t="shared" si="15"/>
        <v>除外</v>
      </c>
      <c r="G508" s="13" t="s">
        <v>1567</v>
      </c>
      <c r="H508" s="14">
        <v>1223536</v>
      </c>
    </row>
    <row r="509" spans="1:8" ht="30" customHeight="1">
      <c r="A509" s="7">
        <v>503</v>
      </c>
      <c r="B509" s="9" t="s">
        <v>1568</v>
      </c>
      <c r="C509" s="9" t="s">
        <v>1569</v>
      </c>
      <c r="D509" s="8">
        <v>41762</v>
      </c>
      <c r="E509" s="10" t="str">
        <f t="shared" si="14"/>
        <v>初段</v>
      </c>
      <c r="F509" s="10" t="str">
        <f t="shared" si="15"/>
        <v>採用候補</v>
      </c>
      <c r="G509" s="13" t="s">
        <v>1570</v>
      </c>
      <c r="H509" s="14">
        <v>1221416</v>
      </c>
    </row>
    <row r="510" spans="1:8" ht="30" customHeight="1">
      <c r="A510" s="7">
        <v>504</v>
      </c>
      <c r="B510" s="9" t="s">
        <v>325</v>
      </c>
      <c r="C510" s="9" t="s">
        <v>326</v>
      </c>
      <c r="D510" s="8">
        <v>37111</v>
      </c>
      <c r="E510" s="10" t="str">
        <f t="shared" si="14"/>
        <v>初段</v>
      </c>
      <c r="F510" s="10" t="str">
        <f t="shared" si="15"/>
        <v>除外</v>
      </c>
      <c r="G510" s="13" t="s">
        <v>1571</v>
      </c>
      <c r="H510" s="14">
        <v>1218082</v>
      </c>
    </row>
    <row r="511" spans="1:8" ht="30" customHeight="1">
      <c r="A511" s="7">
        <v>505</v>
      </c>
      <c r="B511" s="9" t="s">
        <v>327</v>
      </c>
      <c r="C511" s="9" t="s">
        <v>328</v>
      </c>
      <c r="D511" s="8">
        <v>40135</v>
      </c>
      <c r="E511" s="10" t="str">
        <f t="shared" si="14"/>
        <v>初段</v>
      </c>
      <c r="F511" s="10" t="str">
        <f t="shared" si="15"/>
        <v>除外</v>
      </c>
      <c r="G511" s="13" t="s">
        <v>1572</v>
      </c>
      <c r="H511" s="14">
        <v>1216141</v>
      </c>
    </row>
    <row r="512" spans="1:8" ht="30" customHeight="1">
      <c r="A512" s="7">
        <v>506</v>
      </c>
      <c r="B512" s="9" t="s">
        <v>1573</v>
      </c>
      <c r="C512" s="9" t="s">
        <v>698</v>
      </c>
      <c r="D512" s="8">
        <v>41738</v>
      </c>
      <c r="E512" s="10" t="str">
        <f t="shared" si="14"/>
        <v>初段</v>
      </c>
      <c r="F512" s="10" t="str">
        <f t="shared" si="15"/>
        <v>採用候補</v>
      </c>
      <c r="G512" s="13" t="s">
        <v>1574</v>
      </c>
      <c r="H512" s="14">
        <v>1212758</v>
      </c>
    </row>
    <row r="513" spans="1:8" ht="30" customHeight="1">
      <c r="A513" s="7">
        <v>507</v>
      </c>
      <c r="B513" s="9" t="s">
        <v>1575</v>
      </c>
      <c r="C513" s="9" t="s">
        <v>1576</v>
      </c>
      <c r="D513" s="8">
        <v>41409</v>
      </c>
      <c r="E513" s="10" t="str">
        <f t="shared" si="14"/>
        <v>初段</v>
      </c>
      <c r="F513" s="10" t="str">
        <f t="shared" si="15"/>
        <v>採用候補</v>
      </c>
      <c r="G513" s="13" t="s">
        <v>1577</v>
      </c>
      <c r="H513" s="14">
        <v>1212410</v>
      </c>
    </row>
    <row r="514" spans="1:8" ht="30" customHeight="1">
      <c r="A514" s="7">
        <v>508</v>
      </c>
      <c r="B514" s="9" t="s">
        <v>329</v>
      </c>
      <c r="C514" s="9" t="s">
        <v>280</v>
      </c>
      <c r="D514" s="8">
        <v>34584</v>
      </c>
      <c r="E514" s="10" t="str">
        <f t="shared" si="14"/>
        <v>初段</v>
      </c>
      <c r="F514" s="10" t="str">
        <f t="shared" si="15"/>
        <v>除外</v>
      </c>
      <c r="G514" s="13" t="s">
        <v>1578</v>
      </c>
      <c r="H514" s="14">
        <v>1210471</v>
      </c>
    </row>
    <row r="515" spans="1:8" ht="30" customHeight="1">
      <c r="A515" s="7">
        <v>509</v>
      </c>
      <c r="B515" s="9" t="s">
        <v>1579</v>
      </c>
      <c r="C515" s="9" t="s">
        <v>79</v>
      </c>
      <c r="D515" s="8">
        <v>40499</v>
      </c>
      <c r="E515" s="10" t="str">
        <f t="shared" si="14"/>
        <v>初段</v>
      </c>
      <c r="F515" s="10" t="str">
        <f t="shared" si="15"/>
        <v>採用候補</v>
      </c>
      <c r="G515" s="13" t="s">
        <v>1580</v>
      </c>
      <c r="H515" s="14">
        <v>1208415</v>
      </c>
    </row>
    <row r="516" spans="1:8" ht="30" customHeight="1">
      <c r="A516" s="7">
        <v>510</v>
      </c>
      <c r="B516" s="9" t="s">
        <v>1581</v>
      </c>
      <c r="C516" s="9" t="s">
        <v>1538</v>
      </c>
      <c r="D516" s="8">
        <v>41759</v>
      </c>
      <c r="E516" s="10" t="str">
        <f t="shared" si="14"/>
        <v>初段</v>
      </c>
      <c r="F516" s="10" t="str">
        <f t="shared" si="15"/>
        <v>採用候補</v>
      </c>
      <c r="G516" s="13" t="s">
        <v>1582</v>
      </c>
      <c r="H516" s="14">
        <v>1207536</v>
      </c>
    </row>
    <row r="517" spans="1:8" ht="30" customHeight="1">
      <c r="A517" s="7">
        <v>511</v>
      </c>
      <c r="B517" s="9" t="s">
        <v>330</v>
      </c>
      <c r="C517" s="9" t="s">
        <v>331</v>
      </c>
      <c r="D517" s="8">
        <v>36369</v>
      </c>
      <c r="E517" s="10" t="str">
        <f t="shared" si="14"/>
        <v>初段</v>
      </c>
      <c r="F517" s="10" t="str">
        <f t="shared" si="15"/>
        <v>除外</v>
      </c>
      <c r="G517" s="13" t="s">
        <v>1583</v>
      </c>
      <c r="H517" s="14">
        <v>1206825</v>
      </c>
    </row>
    <row r="518" spans="1:8" ht="42" customHeight="1">
      <c r="A518" s="7">
        <v>512</v>
      </c>
      <c r="B518" s="9" t="s">
        <v>1584</v>
      </c>
      <c r="C518" s="9" t="s">
        <v>1585</v>
      </c>
      <c r="D518" s="8">
        <v>42270</v>
      </c>
      <c r="E518" s="10" t="str">
        <f t="shared" si="14"/>
        <v>初段</v>
      </c>
      <c r="F518" s="10" t="str">
        <f t="shared" si="15"/>
        <v>採用候補</v>
      </c>
      <c r="G518" s="13" t="s">
        <v>1586</v>
      </c>
      <c r="H518" s="14">
        <v>1206728</v>
      </c>
    </row>
    <row r="519" spans="1:8" ht="30" customHeight="1">
      <c r="A519" s="7">
        <v>513</v>
      </c>
      <c r="B519" s="9" t="s">
        <v>1587</v>
      </c>
      <c r="C519" s="9" t="s">
        <v>60</v>
      </c>
      <c r="D519" s="8">
        <v>41136</v>
      </c>
      <c r="E519" s="10" t="str">
        <f t="shared" ref="E519:E582" si="16">CHOOSE(INT((A519-1)/100)+1,"5級","4級","3級","2級","1級","初段","二段","三段","四段","五段")</f>
        <v>初段</v>
      </c>
      <c r="F519" s="10" t="str">
        <f t="shared" ref="F519:F582" si="17">IF(D519&gt;=DATE(2010,1,1),"採用候補","除外")</f>
        <v>採用候補</v>
      </c>
      <c r="G519" s="13" t="s">
        <v>1588</v>
      </c>
      <c r="H519" s="14">
        <v>1206229</v>
      </c>
    </row>
    <row r="520" spans="1:8" ht="42" customHeight="1">
      <c r="A520" s="7">
        <v>514</v>
      </c>
      <c r="B520" s="9" t="s">
        <v>332</v>
      </c>
      <c r="C520" s="9" t="s">
        <v>67</v>
      </c>
      <c r="D520" s="8">
        <v>39148</v>
      </c>
      <c r="E520" s="10" t="str">
        <f t="shared" si="16"/>
        <v>初段</v>
      </c>
      <c r="F520" s="10" t="str">
        <f t="shared" si="17"/>
        <v>除外</v>
      </c>
      <c r="G520" s="13" t="s">
        <v>1589</v>
      </c>
      <c r="H520" s="14">
        <v>1205691</v>
      </c>
    </row>
    <row r="521" spans="1:8" ht="30" customHeight="1">
      <c r="A521" s="7">
        <v>515</v>
      </c>
      <c r="B521" s="9" t="s">
        <v>1590</v>
      </c>
      <c r="C521" s="9" t="s">
        <v>894</v>
      </c>
      <c r="D521" s="8">
        <v>44675</v>
      </c>
      <c r="E521" s="10" t="str">
        <f t="shared" si="16"/>
        <v>初段</v>
      </c>
      <c r="F521" s="10" t="str">
        <f t="shared" si="17"/>
        <v>採用候補</v>
      </c>
      <c r="G521" s="13" t="s">
        <v>1591</v>
      </c>
      <c r="H521" s="14">
        <v>1202696</v>
      </c>
    </row>
    <row r="522" spans="1:8" ht="30" customHeight="1">
      <c r="A522" s="7">
        <v>516</v>
      </c>
      <c r="B522" s="9" t="s">
        <v>333</v>
      </c>
      <c r="C522" s="9" t="s">
        <v>29</v>
      </c>
      <c r="D522" s="8">
        <v>37931</v>
      </c>
      <c r="E522" s="10" t="str">
        <f t="shared" si="16"/>
        <v>初段</v>
      </c>
      <c r="F522" s="10" t="str">
        <f t="shared" si="17"/>
        <v>除外</v>
      </c>
      <c r="G522" s="13" t="s">
        <v>1592</v>
      </c>
      <c r="H522" s="14">
        <v>1200715</v>
      </c>
    </row>
    <row r="523" spans="1:8" ht="30" customHeight="1">
      <c r="A523" s="7">
        <v>517</v>
      </c>
      <c r="B523" s="9" t="s">
        <v>334</v>
      </c>
      <c r="C523" s="9" t="s">
        <v>195</v>
      </c>
      <c r="D523" s="8">
        <v>33275</v>
      </c>
      <c r="E523" s="10" t="str">
        <f t="shared" si="16"/>
        <v>初段</v>
      </c>
      <c r="F523" s="10" t="str">
        <f t="shared" si="17"/>
        <v>除外</v>
      </c>
      <c r="G523" s="13" t="s">
        <v>1593</v>
      </c>
      <c r="H523" s="14">
        <v>1199747</v>
      </c>
    </row>
    <row r="524" spans="1:8" ht="30" customHeight="1">
      <c r="A524" s="7">
        <v>518</v>
      </c>
      <c r="B524" s="9" t="s">
        <v>335</v>
      </c>
      <c r="C524" s="9" t="s">
        <v>45</v>
      </c>
      <c r="D524" s="8">
        <v>38434</v>
      </c>
      <c r="E524" s="10" t="str">
        <f t="shared" si="16"/>
        <v>初段</v>
      </c>
      <c r="F524" s="10" t="str">
        <f t="shared" si="17"/>
        <v>除外</v>
      </c>
      <c r="G524" s="13" t="s">
        <v>1594</v>
      </c>
      <c r="H524" s="14">
        <v>1199308</v>
      </c>
    </row>
    <row r="525" spans="1:8" ht="30" customHeight="1">
      <c r="A525" s="7">
        <v>519</v>
      </c>
      <c r="B525" s="9" t="s">
        <v>336</v>
      </c>
      <c r="C525" s="9" t="s">
        <v>337</v>
      </c>
      <c r="D525" s="8">
        <v>38952</v>
      </c>
      <c r="E525" s="10" t="str">
        <f t="shared" si="16"/>
        <v>初段</v>
      </c>
      <c r="F525" s="10" t="str">
        <f t="shared" si="17"/>
        <v>除外</v>
      </c>
      <c r="G525" s="13" t="s">
        <v>1595</v>
      </c>
      <c r="H525" s="14">
        <v>1198955</v>
      </c>
    </row>
    <row r="526" spans="1:8" ht="30" customHeight="1">
      <c r="A526" s="7">
        <v>520</v>
      </c>
      <c r="B526" s="9" t="s">
        <v>338</v>
      </c>
      <c r="C526" s="9" t="s">
        <v>19</v>
      </c>
      <c r="D526" s="8">
        <v>37601</v>
      </c>
      <c r="E526" s="10" t="str">
        <f t="shared" si="16"/>
        <v>初段</v>
      </c>
      <c r="F526" s="10" t="str">
        <f t="shared" si="17"/>
        <v>除外</v>
      </c>
      <c r="G526" s="13" t="s">
        <v>1596</v>
      </c>
      <c r="H526" s="14">
        <v>1198915</v>
      </c>
    </row>
    <row r="527" spans="1:8" ht="30" customHeight="1">
      <c r="A527" s="7">
        <v>521</v>
      </c>
      <c r="B527" s="9" t="s">
        <v>1597</v>
      </c>
      <c r="C527" s="9" t="s">
        <v>755</v>
      </c>
      <c r="D527" s="8">
        <v>44497</v>
      </c>
      <c r="E527" s="10" t="str">
        <f t="shared" si="16"/>
        <v>初段</v>
      </c>
      <c r="F527" s="10" t="str">
        <f t="shared" si="17"/>
        <v>採用候補</v>
      </c>
      <c r="G527" s="13" t="s">
        <v>1598</v>
      </c>
      <c r="H527" s="14">
        <v>1198138</v>
      </c>
    </row>
    <row r="528" spans="1:8" ht="30" customHeight="1">
      <c r="A528" s="7">
        <v>522</v>
      </c>
      <c r="B528" s="9" t="s">
        <v>1599</v>
      </c>
      <c r="C528" s="9" t="s">
        <v>1600</v>
      </c>
      <c r="D528" s="8">
        <v>40317</v>
      </c>
      <c r="E528" s="10" t="str">
        <f t="shared" si="16"/>
        <v>初段</v>
      </c>
      <c r="F528" s="10" t="str">
        <f t="shared" si="17"/>
        <v>採用候補</v>
      </c>
      <c r="G528" s="13" t="s">
        <v>1601</v>
      </c>
      <c r="H528" s="14">
        <v>1197600</v>
      </c>
    </row>
    <row r="529" spans="1:8" ht="30" customHeight="1">
      <c r="A529" s="7">
        <v>523</v>
      </c>
      <c r="B529" s="9" t="s">
        <v>339</v>
      </c>
      <c r="C529" s="9" t="s">
        <v>29</v>
      </c>
      <c r="D529" s="8">
        <v>39785</v>
      </c>
      <c r="E529" s="10" t="str">
        <f t="shared" si="16"/>
        <v>初段</v>
      </c>
      <c r="F529" s="10" t="str">
        <f t="shared" si="17"/>
        <v>除外</v>
      </c>
      <c r="G529" s="13" t="s">
        <v>1602</v>
      </c>
      <c r="H529" s="14">
        <v>1196426</v>
      </c>
    </row>
    <row r="530" spans="1:8" ht="30" customHeight="1">
      <c r="A530" s="7">
        <v>524</v>
      </c>
      <c r="B530" s="9" t="s">
        <v>340</v>
      </c>
      <c r="C530" s="9" t="s">
        <v>29</v>
      </c>
      <c r="D530" s="8">
        <v>38952</v>
      </c>
      <c r="E530" s="10" t="str">
        <f t="shared" si="16"/>
        <v>初段</v>
      </c>
      <c r="F530" s="10" t="str">
        <f t="shared" si="17"/>
        <v>除外</v>
      </c>
      <c r="G530" s="13" t="s">
        <v>1603</v>
      </c>
      <c r="H530" s="14">
        <v>1195076</v>
      </c>
    </row>
    <row r="531" spans="1:8" ht="30" customHeight="1">
      <c r="A531" s="7">
        <v>525</v>
      </c>
      <c r="B531" s="9" t="s">
        <v>1604</v>
      </c>
      <c r="C531" s="9" t="s">
        <v>1605</v>
      </c>
      <c r="D531" s="8">
        <v>45315</v>
      </c>
      <c r="E531" s="10" t="str">
        <f t="shared" si="16"/>
        <v>初段</v>
      </c>
      <c r="F531" s="10" t="str">
        <f t="shared" si="17"/>
        <v>採用候補</v>
      </c>
      <c r="G531" s="13" t="s">
        <v>1606</v>
      </c>
      <c r="H531" s="14">
        <v>1192683</v>
      </c>
    </row>
    <row r="532" spans="1:8" ht="30" customHeight="1">
      <c r="A532" s="7">
        <v>526</v>
      </c>
      <c r="B532" s="9" t="s">
        <v>341</v>
      </c>
      <c r="C532" s="9" t="s">
        <v>40</v>
      </c>
      <c r="D532" s="8">
        <v>35949</v>
      </c>
      <c r="E532" s="10" t="str">
        <f t="shared" si="16"/>
        <v>初段</v>
      </c>
      <c r="F532" s="10" t="str">
        <f t="shared" si="17"/>
        <v>除外</v>
      </c>
      <c r="G532" s="13" t="s">
        <v>1607</v>
      </c>
      <c r="H532" s="14">
        <v>1191796</v>
      </c>
    </row>
    <row r="533" spans="1:8" ht="30" customHeight="1">
      <c r="A533" s="7">
        <v>527</v>
      </c>
      <c r="B533" s="9" t="s">
        <v>342</v>
      </c>
      <c r="C533" s="9" t="s">
        <v>31</v>
      </c>
      <c r="D533" s="8">
        <v>35632</v>
      </c>
      <c r="E533" s="10" t="str">
        <f t="shared" si="16"/>
        <v>初段</v>
      </c>
      <c r="F533" s="10" t="str">
        <f t="shared" si="17"/>
        <v>除外</v>
      </c>
      <c r="G533" s="13" t="s">
        <v>1608</v>
      </c>
      <c r="H533" s="14">
        <v>1189225</v>
      </c>
    </row>
    <row r="534" spans="1:8" ht="30" customHeight="1">
      <c r="A534" s="7">
        <v>528</v>
      </c>
      <c r="B534" s="9" t="s">
        <v>343</v>
      </c>
      <c r="C534" s="9" t="s">
        <v>344</v>
      </c>
      <c r="D534" s="8">
        <v>35970</v>
      </c>
      <c r="E534" s="10" t="str">
        <f t="shared" si="16"/>
        <v>初段</v>
      </c>
      <c r="F534" s="10" t="str">
        <f t="shared" si="17"/>
        <v>除外</v>
      </c>
      <c r="G534" s="13" t="s">
        <v>1609</v>
      </c>
      <c r="H534" s="14">
        <v>1188306</v>
      </c>
    </row>
    <row r="535" spans="1:8" ht="30" customHeight="1">
      <c r="A535" s="7">
        <v>529</v>
      </c>
      <c r="B535" s="9" t="s">
        <v>345</v>
      </c>
      <c r="C535" s="9" t="s">
        <v>172</v>
      </c>
      <c r="D535" s="8">
        <v>37090</v>
      </c>
      <c r="E535" s="10" t="str">
        <f t="shared" si="16"/>
        <v>初段</v>
      </c>
      <c r="F535" s="10" t="str">
        <f t="shared" si="17"/>
        <v>除外</v>
      </c>
      <c r="G535" s="13" t="s">
        <v>1610</v>
      </c>
      <c r="H535" s="14">
        <v>1187233</v>
      </c>
    </row>
    <row r="536" spans="1:8" ht="30" customHeight="1">
      <c r="A536" s="7">
        <v>530</v>
      </c>
      <c r="B536" s="9" t="s">
        <v>1611</v>
      </c>
      <c r="C536" s="9" t="s">
        <v>758</v>
      </c>
      <c r="D536" s="8">
        <v>43509</v>
      </c>
      <c r="E536" s="10" t="str">
        <f t="shared" si="16"/>
        <v>初段</v>
      </c>
      <c r="F536" s="10" t="str">
        <f t="shared" si="17"/>
        <v>採用候補</v>
      </c>
      <c r="G536" s="13" t="s">
        <v>1612</v>
      </c>
      <c r="H536" s="14">
        <v>1186560</v>
      </c>
    </row>
    <row r="537" spans="1:8" ht="30" customHeight="1">
      <c r="A537" s="7">
        <v>531</v>
      </c>
      <c r="B537" s="9" t="s">
        <v>346</v>
      </c>
      <c r="C537" s="9" t="s">
        <v>29</v>
      </c>
      <c r="D537" s="8">
        <v>34171</v>
      </c>
      <c r="E537" s="10" t="str">
        <f t="shared" si="16"/>
        <v>初段</v>
      </c>
      <c r="F537" s="10" t="str">
        <f t="shared" si="17"/>
        <v>除外</v>
      </c>
      <c r="G537" s="13" t="s">
        <v>1613</v>
      </c>
      <c r="H537" s="14">
        <v>1186245</v>
      </c>
    </row>
    <row r="538" spans="1:8" ht="30" customHeight="1">
      <c r="A538" s="7">
        <v>532</v>
      </c>
      <c r="B538" s="9" t="s">
        <v>347</v>
      </c>
      <c r="C538" s="9" t="s">
        <v>348</v>
      </c>
      <c r="D538" s="8">
        <v>38322</v>
      </c>
      <c r="E538" s="10" t="str">
        <f t="shared" si="16"/>
        <v>初段</v>
      </c>
      <c r="F538" s="10" t="str">
        <f t="shared" si="17"/>
        <v>除外</v>
      </c>
      <c r="G538" s="13" t="s">
        <v>1614</v>
      </c>
      <c r="H538" s="14">
        <v>1185579</v>
      </c>
    </row>
    <row r="539" spans="1:8" ht="30" customHeight="1">
      <c r="A539" s="7">
        <v>533</v>
      </c>
      <c r="B539" s="9" t="s">
        <v>1615</v>
      </c>
      <c r="C539" s="9" t="s">
        <v>1460</v>
      </c>
      <c r="D539" s="8">
        <v>46071</v>
      </c>
      <c r="E539" s="10" t="str">
        <f t="shared" si="16"/>
        <v>初段</v>
      </c>
      <c r="F539" s="10" t="str">
        <f t="shared" si="17"/>
        <v>採用候補</v>
      </c>
      <c r="G539" s="13" t="s">
        <v>1616</v>
      </c>
      <c r="H539" s="14">
        <v>1185031</v>
      </c>
    </row>
    <row r="540" spans="1:8" ht="30" customHeight="1">
      <c r="A540" s="7">
        <v>534</v>
      </c>
      <c r="B540" s="9" t="s">
        <v>349</v>
      </c>
      <c r="C540" s="9" t="s">
        <v>29</v>
      </c>
      <c r="D540" s="8">
        <v>39981</v>
      </c>
      <c r="E540" s="10" t="str">
        <f t="shared" si="16"/>
        <v>初段</v>
      </c>
      <c r="F540" s="10" t="str">
        <f t="shared" si="17"/>
        <v>除外</v>
      </c>
      <c r="G540" s="13" t="s">
        <v>1617</v>
      </c>
      <c r="H540" s="14">
        <v>1184433</v>
      </c>
    </row>
    <row r="541" spans="1:8" ht="30" customHeight="1">
      <c r="A541" s="7">
        <v>535</v>
      </c>
      <c r="B541" s="9" t="s">
        <v>350</v>
      </c>
      <c r="C541" s="9" t="s">
        <v>351</v>
      </c>
      <c r="D541" s="8">
        <v>34700</v>
      </c>
      <c r="E541" s="10" t="str">
        <f t="shared" si="16"/>
        <v>初段</v>
      </c>
      <c r="F541" s="10" t="str">
        <f t="shared" si="17"/>
        <v>除外</v>
      </c>
      <c r="G541" s="13" t="s">
        <v>1618</v>
      </c>
      <c r="H541" s="14">
        <v>1182220</v>
      </c>
    </row>
    <row r="542" spans="1:8" ht="30" customHeight="1">
      <c r="A542" s="7">
        <v>536</v>
      </c>
      <c r="B542" s="9" t="s">
        <v>1619</v>
      </c>
      <c r="C542" s="9" t="s">
        <v>1620</v>
      </c>
      <c r="D542" s="8">
        <v>41486</v>
      </c>
      <c r="E542" s="10" t="str">
        <f t="shared" si="16"/>
        <v>初段</v>
      </c>
      <c r="F542" s="10" t="str">
        <f t="shared" si="17"/>
        <v>採用候補</v>
      </c>
      <c r="G542" s="13" t="s">
        <v>1621</v>
      </c>
      <c r="H542" s="14">
        <v>1181458</v>
      </c>
    </row>
    <row r="543" spans="1:8" ht="30" customHeight="1">
      <c r="A543" s="7">
        <v>537</v>
      </c>
      <c r="B543" s="9" t="s">
        <v>1622</v>
      </c>
      <c r="C543" s="9" t="s">
        <v>1623</v>
      </c>
      <c r="D543" s="8">
        <v>44578</v>
      </c>
      <c r="E543" s="10" t="str">
        <f t="shared" si="16"/>
        <v>初段</v>
      </c>
      <c r="F543" s="10" t="str">
        <f t="shared" si="17"/>
        <v>採用候補</v>
      </c>
      <c r="G543" s="13" t="s">
        <v>1624</v>
      </c>
      <c r="H543" s="14">
        <v>1181220</v>
      </c>
    </row>
    <row r="544" spans="1:8" ht="30" customHeight="1">
      <c r="A544" s="7">
        <v>538</v>
      </c>
      <c r="B544" s="9" t="s">
        <v>1625</v>
      </c>
      <c r="C544" s="9" t="s">
        <v>1197</v>
      </c>
      <c r="D544" s="8">
        <v>41451</v>
      </c>
      <c r="E544" s="10" t="str">
        <f t="shared" si="16"/>
        <v>初段</v>
      </c>
      <c r="F544" s="10" t="str">
        <f t="shared" si="17"/>
        <v>採用候補</v>
      </c>
      <c r="G544" s="13" t="s">
        <v>1626</v>
      </c>
      <c r="H544" s="14">
        <v>1180646</v>
      </c>
    </row>
    <row r="545" spans="1:8" ht="30" customHeight="1">
      <c r="A545" s="7">
        <v>539</v>
      </c>
      <c r="B545" s="9" t="s">
        <v>352</v>
      </c>
      <c r="C545" s="9" t="s">
        <v>146</v>
      </c>
      <c r="D545" s="8">
        <v>38126</v>
      </c>
      <c r="E545" s="10" t="str">
        <f t="shared" si="16"/>
        <v>初段</v>
      </c>
      <c r="F545" s="10" t="str">
        <f t="shared" si="17"/>
        <v>除外</v>
      </c>
      <c r="G545" s="13" t="s">
        <v>1627</v>
      </c>
      <c r="H545" s="14">
        <v>1178050</v>
      </c>
    </row>
    <row r="546" spans="1:8" ht="30" customHeight="1">
      <c r="A546" s="7">
        <v>540</v>
      </c>
      <c r="B546" s="9" t="s">
        <v>353</v>
      </c>
      <c r="C546" s="9" t="s">
        <v>354</v>
      </c>
      <c r="D546" s="8">
        <v>40086</v>
      </c>
      <c r="E546" s="10" t="str">
        <f t="shared" si="16"/>
        <v>初段</v>
      </c>
      <c r="F546" s="10" t="str">
        <f t="shared" si="17"/>
        <v>除外</v>
      </c>
      <c r="G546" s="13" t="s">
        <v>1628</v>
      </c>
      <c r="H546" s="14">
        <v>1177859</v>
      </c>
    </row>
    <row r="547" spans="1:8" ht="30" customHeight="1">
      <c r="A547" s="7">
        <v>541</v>
      </c>
      <c r="B547" s="9" t="s">
        <v>1629</v>
      </c>
      <c r="C547" s="9" t="s">
        <v>722</v>
      </c>
      <c r="D547" s="8">
        <v>42704</v>
      </c>
      <c r="E547" s="10" t="str">
        <f t="shared" si="16"/>
        <v>初段</v>
      </c>
      <c r="F547" s="10" t="str">
        <f t="shared" si="17"/>
        <v>採用候補</v>
      </c>
      <c r="G547" s="13" t="s">
        <v>1630</v>
      </c>
      <c r="H547" s="14">
        <v>1177456</v>
      </c>
    </row>
    <row r="548" spans="1:8" ht="30" customHeight="1">
      <c r="A548" s="7">
        <v>542</v>
      </c>
      <c r="B548" s="9" t="s">
        <v>355</v>
      </c>
      <c r="C548" s="9" t="s">
        <v>29</v>
      </c>
      <c r="D548" s="8">
        <v>40135</v>
      </c>
      <c r="E548" s="10" t="str">
        <f t="shared" si="16"/>
        <v>初段</v>
      </c>
      <c r="F548" s="10" t="str">
        <f t="shared" si="17"/>
        <v>除外</v>
      </c>
      <c r="G548" s="13" t="s">
        <v>1631</v>
      </c>
      <c r="H548" s="14">
        <v>1176359</v>
      </c>
    </row>
    <row r="549" spans="1:8" ht="30" customHeight="1">
      <c r="A549" s="7">
        <v>543</v>
      </c>
      <c r="B549" s="9" t="s">
        <v>1632</v>
      </c>
      <c r="C549" s="9" t="s">
        <v>1633</v>
      </c>
      <c r="D549" s="8">
        <v>41157</v>
      </c>
      <c r="E549" s="10" t="str">
        <f t="shared" si="16"/>
        <v>初段</v>
      </c>
      <c r="F549" s="10" t="str">
        <f t="shared" si="17"/>
        <v>採用候補</v>
      </c>
      <c r="G549" s="13" t="s">
        <v>1634</v>
      </c>
      <c r="H549" s="14">
        <v>1175702</v>
      </c>
    </row>
    <row r="550" spans="1:8" ht="30" customHeight="1">
      <c r="A550" s="7">
        <v>544</v>
      </c>
      <c r="B550" s="9" t="s">
        <v>356</v>
      </c>
      <c r="C550" s="9" t="s">
        <v>88</v>
      </c>
      <c r="D550" s="8">
        <v>35837</v>
      </c>
      <c r="E550" s="10" t="str">
        <f t="shared" si="16"/>
        <v>初段</v>
      </c>
      <c r="F550" s="10" t="str">
        <f t="shared" si="17"/>
        <v>除外</v>
      </c>
      <c r="G550" s="13" t="s">
        <v>1635</v>
      </c>
      <c r="H550" s="14">
        <v>1171427</v>
      </c>
    </row>
    <row r="551" spans="1:8" ht="42" customHeight="1">
      <c r="A551" s="7">
        <v>545</v>
      </c>
      <c r="B551" s="9" t="s">
        <v>1636</v>
      </c>
      <c r="C551" s="9" t="s">
        <v>806</v>
      </c>
      <c r="D551" s="8">
        <v>40674</v>
      </c>
      <c r="E551" s="10" t="str">
        <f t="shared" si="16"/>
        <v>初段</v>
      </c>
      <c r="F551" s="10" t="str">
        <f t="shared" si="17"/>
        <v>採用候補</v>
      </c>
      <c r="G551" s="13" t="s">
        <v>1637</v>
      </c>
      <c r="H551" s="14">
        <v>1171322</v>
      </c>
    </row>
    <row r="552" spans="1:8" ht="30" customHeight="1">
      <c r="A552" s="7">
        <v>546</v>
      </c>
      <c r="B552" s="9" t="s">
        <v>240</v>
      </c>
      <c r="C552" s="9" t="s">
        <v>12</v>
      </c>
      <c r="D552" s="8">
        <v>41024</v>
      </c>
      <c r="E552" s="10" t="str">
        <f t="shared" si="16"/>
        <v>初段</v>
      </c>
      <c r="F552" s="10" t="str">
        <f t="shared" si="17"/>
        <v>採用候補</v>
      </c>
      <c r="G552" s="13" t="s">
        <v>1638</v>
      </c>
      <c r="H552" s="14">
        <v>1171053</v>
      </c>
    </row>
    <row r="553" spans="1:8" ht="42" customHeight="1">
      <c r="A553" s="7">
        <v>547</v>
      </c>
      <c r="B553" s="9" t="s">
        <v>357</v>
      </c>
      <c r="C553" s="9" t="s">
        <v>67</v>
      </c>
      <c r="D553" s="8">
        <v>34904</v>
      </c>
      <c r="E553" s="10" t="str">
        <f t="shared" si="16"/>
        <v>初段</v>
      </c>
      <c r="F553" s="10" t="str">
        <f t="shared" si="17"/>
        <v>除外</v>
      </c>
      <c r="G553" s="13" t="s">
        <v>1639</v>
      </c>
      <c r="H553" s="14">
        <v>1170738</v>
      </c>
    </row>
    <row r="554" spans="1:8" ht="30" customHeight="1">
      <c r="A554" s="7">
        <v>548</v>
      </c>
      <c r="B554" s="9" t="s">
        <v>1640</v>
      </c>
      <c r="C554" s="9" t="s">
        <v>1641</v>
      </c>
      <c r="D554" s="8">
        <v>42186</v>
      </c>
      <c r="E554" s="10" t="str">
        <f t="shared" si="16"/>
        <v>初段</v>
      </c>
      <c r="F554" s="10" t="str">
        <f t="shared" si="17"/>
        <v>採用候補</v>
      </c>
      <c r="G554" s="13" t="s">
        <v>1642</v>
      </c>
      <c r="H554" s="14">
        <v>1169835</v>
      </c>
    </row>
    <row r="555" spans="1:8" ht="30" customHeight="1">
      <c r="A555" s="7">
        <v>549</v>
      </c>
      <c r="B555" s="9" t="s">
        <v>1643</v>
      </c>
      <c r="C555" s="9" t="s">
        <v>939</v>
      </c>
      <c r="D555" s="8">
        <v>43859</v>
      </c>
      <c r="E555" s="10" t="str">
        <f t="shared" si="16"/>
        <v>初段</v>
      </c>
      <c r="F555" s="10" t="str">
        <f t="shared" si="17"/>
        <v>採用候補</v>
      </c>
      <c r="G555" s="13" t="s">
        <v>1644</v>
      </c>
      <c r="H555" s="14">
        <v>1168541</v>
      </c>
    </row>
    <row r="556" spans="1:8" ht="30" customHeight="1">
      <c r="A556" s="7">
        <v>550</v>
      </c>
      <c r="B556" s="9" t="s">
        <v>1645</v>
      </c>
      <c r="C556" s="9" t="s">
        <v>1138</v>
      </c>
      <c r="D556" s="8">
        <v>41822</v>
      </c>
      <c r="E556" s="10" t="str">
        <f t="shared" si="16"/>
        <v>初段</v>
      </c>
      <c r="F556" s="10" t="str">
        <f t="shared" si="17"/>
        <v>採用候補</v>
      </c>
      <c r="G556" s="13" t="s">
        <v>1646</v>
      </c>
      <c r="H556" s="14">
        <v>1167630</v>
      </c>
    </row>
    <row r="557" spans="1:8" ht="42" customHeight="1">
      <c r="A557" s="7">
        <v>551</v>
      </c>
      <c r="B557" s="9" t="s">
        <v>358</v>
      </c>
      <c r="C557" s="9" t="s">
        <v>359</v>
      </c>
      <c r="D557" s="8">
        <v>36892</v>
      </c>
      <c r="E557" s="10" t="str">
        <f t="shared" si="16"/>
        <v>初段</v>
      </c>
      <c r="F557" s="10" t="str">
        <f t="shared" si="17"/>
        <v>除外</v>
      </c>
      <c r="G557" s="13" t="s">
        <v>1647</v>
      </c>
      <c r="H557" s="14">
        <v>1167208</v>
      </c>
    </row>
    <row r="558" spans="1:8" ht="30" customHeight="1">
      <c r="A558" s="7">
        <v>552</v>
      </c>
      <c r="B558" s="9" t="s">
        <v>1648</v>
      </c>
      <c r="C558" s="9" t="s">
        <v>1649</v>
      </c>
      <c r="D558" s="8">
        <v>41969</v>
      </c>
      <c r="E558" s="10" t="str">
        <f t="shared" si="16"/>
        <v>初段</v>
      </c>
      <c r="F558" s="10" t="str">
        <f t="shared" si="17"/>
        <v>採用候補</v>
      </c>
      <c r="G558" s="13" t="s">
        <v>1650</v>
      </c>
      <c r="H558" s="14">
        <v>1167126</v>
      </c>
    </row>
    <row r="559" spans="1:8" ht="30" customHeight="1">
      <c r="A559" s="7">
        <v>553</v>
      </c>
      <c r="B559" s="9" t="s">
        <v>360</v>
      </c>
      <c r="C559" s="9" t="s">
        <v>351</v>
      </c>
      <c r="D559" s="8">
        <v>33079</v>
      </c>
      <c r="E559" s="10" t="str">
        <f t="shared" si="16"/>
        <v>初段</v>
      </c>
      <c r="F559" s="10" t="str">
        <f t="shared" si="17"/>
        <v>除外</v>
      </c>
      <c r="G559" s="13" t="s">
        <v>1651</v>
      </c>
      <c r="H559" s="14">
        <v>1165944</v>
      </c>
    </row>
    <row r="560" spans="1:8" ht="30" customHeight="1">
      <c r="A560" s="7">
        <v>554</v>
      </c>
      <c r="B560" s="9" t="s">
        <v>361</v>
      </c>
      <c r="C560" s="9" t="s">
        <v>209</v>
      </c>
      <c r="D560" s="8">
        <v>39631</v>
      </c>
      <c r="E560" s="10" t="str">
        <f t="shared" si="16"/>
        <v>初段</v>
      </c>
      <c r="F560" s="10" t="str">
        <f t="shared" si="17"/>
        <v>除外</v>
      </c>
      <c r="G560" s="13" t="s">
        <v>1652</v>
      </c>
      <c r="H560" s="14">
        <v>1163885</v>
      </c>
    </row>
    <row r="561" spans="1:8" ht="42" customHeight="1">
      <c r="A561" s="7">
        <v>555</v>
      </c>
      <c r="B561" s="9" t="s">
        <v>1653</v>
      </c>
      <c r="C561" s="9" t="s">
        <v>1362</v>
      </c>
      <c r="D561" s="8">
        <v>43917</v>
      </c>
      <c r="E561" s="10" t="str">
        <f t="shared" si="16"/>
        <v>初段</v>
      </c>
      <c r="F561" s="10" t="str">
        <f t="shared" si="17"/>
        <v>採用候補</v>
      </c>
      <c r="G561" s="13" t="s">
        <v>1654</v>
      </c>
      <c r="H561" s="14">
        <v>1161016</v>
      </c>
    </row>
    <row r="562" spans="1:8" ht="30" customHeight="1">
      <c r="A562" s="7">
        <v>556</v>
      </c>
      <c r="B562" s="9" t="s">
        <v>1655</v>
      </c>
      <c r="C562" s="9" t="s">
        <v>155</v>
      </c>
      <c r="D562" s="8">
        <v>40485</v>
      </c>
      <c r="E562" s="10" t="str">
        <f t="shared" si="16"/>
        <v>初段</v>
      </c>
      <c r="F562" s="10" t="str">
        <f t="shared" si="17"/>
        <v>採用候補</v>
      </c>
      <c r="G562" s="13" t="s">
        <v>1656</v>
      </c>
      <c r="H562" s="14">
        <v>1160377</v>
      </c>
    </row>
    <row r="563" spans="1:8" ht="30" customHeight="1">
      <c r="A563" s="7">
        <v>557</v>
      </c>
      <c r="B563" s="9" t="s">
        <v>362</v>
      </c>
      <c r="C563" s="9" t="s">
        <v>363</v>
      </c>
      <c r="D563" s="8">
        <v>35755</v>
      </c>
      <c r="E563" s="10" t="str">
        <f t="shared" si="16"/>
        <v>初段</v>
      </c>
      <c r="F563" s="10" t="str">
        <f t="shared" si="17"/>
        <v>除外</v>
      </c>
      <c r="G563" s="13" t="s">
        <v>1657</v>
      </c>
      <c r="H563" s="14">
        <v>1159802</v>
      </c>
    </row>
    <row r="564" spans="1:8" ht="30" customHeight="1">
      <c r="A564" s="7">
        <v>558</v>
      </c>
      <c r="B564" s="9" t="s">
        <v>364</v>
      </c>
      <c r="C564" s="9" t="s">
        <v>365</v>
      </c>
      <c r="D564" s="8">
        <v>39057</v>
      </c>
      <c r="E564" s="10" t="str">
        <f t="shared" si="16"/>
        <v>初段</v>
      </c>
      <c r="F564" s="10" t="str">
        <f t="shared" si="17"/>
        <v>除外</v>
      </c>
      <c r="G564" s="13" t="s">
        <v>1658</v>
      </c>
      <c r="H564" s="14">
        <v>1157977</v>
      </c>
    </row>
    <row r="565" spans="1:8" ht="30" customHeight="1">
      <c r="A565" s="7">
        <v>559</v>
      </c>
      <c r="B565" s="9" t="s">
        <v>1659</v>
      </c>
      <c r="C565" s="9" t="s">
        <v>1660</v>
      </c>
      <c r="D565" s="8">
        <v>45439</v>
      </c>
      <c r="E565" s="10" t="str">
        <f t="shared" si="16"/>
        <v>初段</v>
      </c>
      <c r="F565" s="10" t="str">
        <f t="shared" si="17"/>
        <v>採用候補</v>
      </c>
      <c r="G565" s="13" t="s">
        <v>1661</v>
      </c>
      <c r="H565" s="14">
        <v>1157707</v>
      </c>
    </row>
    <row r="566" spans="1:8" ht="30" customHeight="1">
      <c r="A566" s="7">
        <v>560</v>
      </c>
      <c r="B566" s="9" t="s">
        <v>366</v>
      </c>
      <c r="C566" s="9" t="s">
        <v>25</v>
      </c>
      <c r="D566" s="8">
        <v>38364</v>
      </c>
      <c r="E566" s="10" t="str">
        <f t="shared" si="16"/>
        <v>初段</v>
      </c>
      <c r="F566" s="10" t="str">
        <f t="shared" si="17"/>
        <v>除外</v>
      </c>
      <c r="G566" s="13" t="s">
        <v>1662</v>
      </c>
      <c r="H566" s="14">
        <v>1154963</v>
      </c>
    </row>
    <row r="567" spans="1:8" ht="30" customHeight="1">
      <c r="A567" s="7">
        <v>561</v>
      </c>
      <c r="B567" s="9" t="s">
        <v>367</v>
      </c>
      <c r="C567" s="9" t="s">
        <v>368</v>
      </c>
      <c r="D567" s="8">
        <v>39680</v>
      </c>
      <c r="E567" s="10" t="str">
        <f t="shared" si="16"/>
        <v>初段</v>
      </c>
      <c r="F567" s="10" t="str">
        <f t="shared" si="17"/>
        <v>除外</v>
      </c>
      <c r="G567" s="13" t="s">
        <v>1663</v>
      </c>
      <c r="H567" s="14">
        <v>1154750</v>
      </c>
    </row>
    <row r="568" spans="1:8" ht="30" customHeight="1">
      <c r="A568" s="7">
        <v>562</v>
      </c>
      <c r="B568" s="9" t="s">
        <v>1664</v>
      </c>
      <c r="C568" s="9" t="s">
        <v>851</v>
      </c>
      <c r="D568" s="8">
        <v>42830</v>
      </c>
      <c r="E568" s="10" t="str">
        <f t="shared" si="16"/>
        <v>初段</v>
      </c>
      <c r="F568" s="10" t="str">
        <f t="shared" si="17"/>
        <v>採用候補</v>
      </c>
      <c r="G568" s="13" t="s">
        <v>1665</v>
      </c>
      <c r="H568" s="14">
        <v>1154105</v>
      </c>
    </row>
    <row r="569" spans="1:8" ht="30" customHeight="1">
      <c r="A569" s="7">
        <v>563</v>
      </c>
      <c r="B569" s="9" t="s">
        <v>369</v>
      </c>
      <c r="C569" s="9" t="s">
        <v>19</v>
      </c>
      <c r="D569" s="8">
        <v>34486</v>
      </c>
      <c r="E569" s="10" t="str">
        <f t="shared" si="16"/>
        <v>初段</v>
      </c>
      <c r="F569" s="10" t="str">
        <f t="shared" si="17"/>
        <v>除外</v>
      </c>
      <c r="G569" s="13" t="s">
        <v>1666</v>
      </c>
      <c r="H569" s="14">
        <v>1151325</v>
      </c>
    </row>
    <row r="570" spans="1:8" ht="30" customHeight="1">
      <c r="A570" s="7">
        <v>564</v>
      </c>
      <c r="B570" s="9" t="s">
        <v>1667</v>
      </c>
      <c r="C570" s="9" t="s">
        <v>679</v>
      </c>
      <c r="D570" s="8">
        <v>40842</v>
      </c>
      <c r="E570" s="10" t="str">
        <f t="shared" si="16"/>
        <v>初段</v>
      </c>
      <c r="F570" s="10" t="str">
        <f t="shared" si="17"/>
        <v>採用候補</v>
      </c>
      <c r="G570" s="13" t="s">
        <v>1668</v>
      </c>
      <c r="H570" s="14">
        <v>1149692</v>
      </c>
    </row>
    <row r="571" spans="1:8" ht="30" customHeight="1">
      <c r="A571" s="7">
        <v>565</v>
      </c>
      <c r="B571" s="9" t="s">
        <v>1669</v>
      </c>
      <c r="C571" s="9" t="s">
        <v>155</v>
      </c>
      <c r="D571" s="8">
        <v>41570</v>
      </c>
      <c r="E571" s="10" t="str">
        <f t="shared" si="16"/>
        <v>初段</v>
      </c>
      <c r="F571" s="10" t="str">
        <f t="shared" si="17"/>
        <v>採用候補</v>
      </c>
      <c r="G571" s="13" t="s">
        <v>1670</v>
      </c>
      <c r="H571" s="14">
        <v>1148307</v>
      </c>
    </row>
    <row r="572" spans="1:8" ht="30" customHeight="1">
      <c r="A572" s="7">
        <v>566</v>
      </c>
      <c r="B572" s="9" t="s">
        <v>370</v>
      </c>
      <c r="C572" s="9" t="s">
        <v>264</v>
      </c>
      <c r="D572" s="8">
        <v>38392</v>
      </c>
      <c r="E572" s="10" t="str">
        <f t="shared" si="16"/>
        <v>初段</v>
      </c>
      <c r="F572" s="10" t="str">
        <f t="shared" si="17"/>
        <v>除外</v>
      </c>
      <c r="G572" s="13" t="s">
        <v>1671</v>
      </c>
      <c r="H572" s="14">
        <v>1146829</v>
      </c>
    </row>
    <row r="573" spans="1:8" ht="30" customHeight="1">
      <c r="A573" s="7">
        <v>567</v>
      </c>
      <c r="B573" s="9" t="s">
        <v>371</v>
      </c>
      <c r="C573" s="9" t="s">
        <v>86</v>
      </c>
      <c r="D573" s="8">
        <v>39862</v>
      </c>
      <c r="E573" s="10" t="str">
        <f t="shared" si="16"/>
        <v>初段</v>
      </c>
      <c r="F573" s="10" t="str">
        <f t="shared" si="17"/>
        <v>除外</v>
      </c>
      <c r="G573" s="13" t="s">
        <v>1672</v>
      </c>
      <c r="H573" s="14">
        <v>1146592</v>
      </c>
    </row>
    <row r="574" spans="1:8" ht="30" customHeight="1">
      <c r="A574" s="7">
        <v>568</v>
      </c>
      <c r="B574" s="9" t="s">
        <v>1673</v>
      </c>
      <c r="C574" s="9" t="s">
        <v>287</v>
      </c>
      <c r="D574" s="8">
        <v>42305</v>
      </c>
      <c r="E574" s="10" t="str">
        <f t="shared" si="16"/>
        <v>初段</v>
      </c>
      <c r="F574" s="10" t="str">
        <f t="shared" si="17"/>
        <v>採用候補</v>
      </c>
      <c r="G574" s="13" t="s">
        <v>1674</v>
      </c>
      <c r="H574" s="14">
        <v>1145180</v>
      </c>
    </row>
    <row r="575" spans="1:8" ht="30" customHeight="1">
      <c r="A575" s="7">
        <v>569</v>
      </c>
      <c r="B575" s="9" t="s">
        <v>1675</v>
      </c>
      <c r="C575" s="9" t="s">
        <v>45</v>
      </c>
      <c r="D575" s="8">
        <v>40317</v>
      </c>
      <c r="E575" s="10" t="str">
        <f t="shared" si="16"/>
        <v>初段</v>
      </c>
      <c r="F575" s="10" t="str">
        <f t="shared" si="17"/>
        <v>採用候補</v>
      </c>
      <c r="G575" s="13" t="s">
        <v>1676</v>
      </c>
      <c r="H575" s="14">
        <v>1144460</v>
      </c>
    </row>
    <row r="576" spans="1:8" ht="30" customHeight="1">
      <c r="A576" s="7">
        <v>570</v>
      </c>
      <c r="B576" s="9" t="s">
        <v>1677</v>
      </c>
      <c r="C576" s="9" t="s">
        <v>682</v>
      </c>
      <c r="D576" s="8">
        <v>43619</v>
      </c>
      <c r="E576" s="10" t="str">
        <f t="shared" si="16"/>
        <v>初段</v>
      </c>
      <c r="F576" s="10" t="str">
        <f t="shared" si="17"/>
        <v>採用候補</v>
      </c>
      <c r="G576" s="13" t="s">
        <v>1678</v>
      </c>
      <c r="H576" s="14">
        <v>1142955</v>
      </c>
    </row>
    <row r="577" spans="1:8" ht="30" customHeight="1">
      <c r="A577" s="7">
        <v>571</v>
      </c>
      <c r="B577" s="9" t="s">
        <v>1679</v>
      </c>
      <c r="C577" s="9" t="s">
        <v>758</v>
      </c>
      <c r="D577" s="8">
        <v>40338</v>
      </c>
      <c r="E577" s="10" t="str">
        <f t="shared" si="16"/>
        <v>初段</v>
      </c>
      <c r="F577" s="10" t="str">
        <f t="shared" si="17"/>
        <v>採用候補</v>
      </c>
      <c r="G577" s="13" t="s">
        <v>1680</v>
      </c>
      <c r="H577" s="14">
        <v>1140962</v>
      </c>
    </row>
    <row r="578" spans="1:8" ht="30" customHeight="1">
      <c r="A578" s="7">
        <v>572</v>
      </c>
      <c r="B578" s="9" t="s">
        <v>372</v>
      </c>
      <c r="C578" s="9" t="s">
        <v>328</v>
      </c>
      <c r="D578" s="8">
        <v>36824</v>
      </c>
      <c r="E578" s="10" t="str">
        <f t="shared" si="16"/>
        <v>初段</v>
      </c>
      <c r="F578" s="10" t="str">
        <f t="shared" si="17"/>
        <v>除外</v>
      </c>
      <c r="G578" s="13" t="s">
        <v>1681</v>
      </c>
      <c r="H578" s="14">
        <v>1139795</v>
      </c>
    </row>
    <row r="579" spans="1:8" ht="30" customHeight="1">
      <c r="A579" s="7">
        <v>573</v>
      </c>
      <c r="B579" s="9" t="s">
        <v>1682</v>
      </c>
      <c r="C579" s="9" t="s">
        <v>45</v>
      </c>
      <c r="D579" s="8">
        <v>40975</v>
      </c>
      <c r="E579" s="10" t="str">
        <f t="shared" si="16"/>
        <v>初段</v>
      </c>
      <c r="F579" s="10" t="str">
        <f t="shared" si="17"/>
        <v>採用候補</v>
      </c>
      <c r="G579" s="13" t="s">
        <v>1683</v>
      </c>
      <c r="H579" s="14">
        <v>1136272</v>
      </c>
    </row>
    <row r="580" spans="1:8" ht="30" customHeight="1">
      <c r="A580" s="7">
        <v>574</v>
      </c>
      <c r="B580" s="9" t="s">
        <v>373</v>
      </c>
      <c r="C580" s="9" t="s">
        <v>351</v>
      </c>
      <c r="D580" s="8">
        <v>32470</v>
      </c>
      <c r="E580" s="10" t="str">
        <f t="shared" si="16"/>
        <v>初段</v>
      </c>
      <c r="F580" s="10" t="str">
        <f t="shared" si="17"/>
        <v>除外</v>
      </c>
      <c r="G580" s="13" t="s">
        <v>1684</v>
      </c>
      <c r="H580" s="14">
        <v>1135158</v>
      </c>
    </row>
    <row r="581" spans="1:8" ht="42" customHeight="1">
      <c r="A581" s="7">
        <v>575</v>
      </c>
      <c r="B581" s="9" t="s">
        <v>1685</v>
      </c>
      <c r="C581" s="9" t="s">
        <v>1686</v>
      </c>
      <c r="D581" s="8">
        <v>42319</v>
      </c>
      <c r="E581" s="10" t="str">
        <f t="shared" si="16"/>
        <v>初段</v>
      </c>
      <c r="F581" s="10" t="str">
        <f t="shared" si="17"/>
        <v>採用候補</v>
      </c>
      <c r="G581" s="13" t="s">
        <v>1687</v>
      </c>
      <c r="H581" s="14">
        <v>1132910</v>
      </c>
    </row>
    <row r="582" spans="1:8" ht="30" customHeight="1">
      <c r="A582" s="7">
        <v>576</v>
      </c>
      <c r="B582" s="9" t="s">
        <v>374</v>
      </c>
      <c r="C582" s="9" t="s">
        <v>375</v>
      </c>
      <c r="D582" s="8">
        <v>38910</v>
      </c>
      <c r="E582" s="10" t="str">
        <f t="shared" si="16"/>
        <v>初段</v>
      </c>
      <c r="F582" s="10" t="str">
        <f t="shared" si="17"/>
        <v>除外</v>
      </c>
      <c r="G582" s="13" t="s">
        <v>1688</v>
      </c>
      <c r="H582" s="14">
        <v>1131928</v>
      </c>
    </row>
    <row r="583" spans="1:8" ht="30" customHeight="1">
      <c r="A583" s="7">
        <v>577</v>
      </c>
      <c r="B583" s="9" t="s">
        <v>376</v>
      </c>
      <c r="C583" s="9" t="s">
        <v>377</v>
      </c>
      <c r="D583" s="8">
        <v>35648</v>
      </c>
      <c r="E583" s="10" t="str">
        <f t="shared" ref="E583:E646" si="18">CHOOSE(INT((A583-1)/100)+1,"5級","4級","3級","2級","1級","初段","二段","三段","四段","五段")</f>
        <v>初段</v>
      </c>
      <c r="F583" s="10" t="str">
        <f t="shared" ref="F583:F646" si="19">IF(D583&gt;=DATE(2010,1,1),"採用候補","除外")</f>
        <v>除外</v>
      </c>
      <c r="G583" s="13" t="s">
        <v>1689</v>
      </c>
      <c r="H583" s="14">
        <v>1131552</v>
      </c>
    </row>
    <row r="584" spans="1:8" ht="30" customHeight="1">
      <c r="A584" s="7">
        <v>578</v>
      </c>
      <c r="B584" s="9" t="s">
        <v>1690</v>
      </c>
      <c r="C584" s="9" t="s">
        <v>939</v>
      </c>
      <c r="D584" s="8">
        <v>41962</v>
      </c>
      <c r="E584" s="10" t="str">
        <f t="shared" si="18"/>
        <v>初段</v>
      </c>
      <c r="F584" s="10" t="str">
        <f t="shared" si="19"/>
        <v>採用候補</v>
      </c>
      <c r="G584" s="13" t="s">
        <v>1691</v>
      </c>
      <c r="H584" s="14">
        <v>1131542</v>
      </c>
    </row>
    <row r="585" spans="1:8" ht="30" customHeight="1">
      <c r="A585" s="7">
        <v>579</v>
      </c>
      <c r="B585" s="9" t="s">
        <v>378</v>
      </c>
      <c r="C585" s="9" t="s">
        <v>155</v>
      </c>
      <c r="D585" s="8">
        <v>39890</v>
      </c>
      <c r="E585" s="10" t="str">
        <f t="shared" si="18"/>
        <v>初段</v>
      </c>
      <c r="F585" s="10" t="str">
        <f t="shared" si="19"/>
        <v>除外</v>
      </c>
      <c r="G585" s="13" t="s">
        <v>1692</v>
      </c>
      <c r="H585" s="14">
        <v>1130776</v>
      </c>
    </row>
    <row r="586" spans="1:8" ht="30" customHeight="1">
      <c r="A586" s="7">
        <v>580</v>
      </c>
      <c r="B586" s="9" t="s">
        <v>1693</v>
      </c>
      <c r="C586" s="9" t="s">
        <v>698</v>
      </c>
      <c r="D586" s="8">
        <v>40485</v>
      </c>
      <c r="E586" s="10" t="str">
        <f t="shared" si="18"/>
        <v>初段</v>
      </c>
      <c r="F586" s="10" t="str">
        <f t="shared" si="19"/>
        <v>採用候補</v>
      </c>
      <c r="G586" s="13" t="s">
        <v>1694</v>
      </c>
      <c r="H586" s="14">
        <v>1130174</v>
      </c>
    </row>
    <row r="587" spans="1:8" ht="30" customHeight="1">
      <c r="A587" s="7">
        <v>581</v>
      </c>
      <c r="B587" s="9" t="s">
        <v>379</v>
      </c>
      <c r="C587" s="9" t="s">
        <v>380</v>
      </c>
      <c r="D587" s="8">
        <v>39820</v>
      </c>
      <c r="E587" s="10" t="str">
        <f t="shared" si="18"/>
        <v>初段</v>
      </c>
      <c r="F587" s="10" t="str">
        <f t="shared" si="19"/>
        <v>除外</v>
      </c>
      <c r="G587" s="13" t="s">
        <v>1695</v>
      </c>
      <c r="H587" s="14">
        <v>1129479</v>
      </c>
    </row>
    <row r="588" spans="1:8" ht="30" customHeight="1">
      <c r="A588" s="7">
        <v>582</v>
      </c>
      <c r="B588" s="9" t="s">
        <v>381</v>
      </c>
      <c r="C588" s="9" t="s">
        <v>382</v>
      </c>
      <c r="D588" s="8">
        <v>37034</v>
      </c>
      <c r="E588" s="10" t="str">
        <f t="shared" si="18"/>
        <v>初段</v>
      </c>
      <c r="F588" s="10" t="str">
        <f t="shared" si="19"/>
        <v>除外</v>
      </c>
      <c r="G588" s="13" t="s">
        <v>1696</v>
      </c>
      <c r="H588" s="14">
        <v>1128829</v>
      </c>
    </row>
    <row r="589" spans="1:8" ht="30" customHeight="1">
      <c r="A589" s="7">
        <v>583</v>
      </c>
      <c r="B589" s="9" t="s">
        <v>383</v>
      </c>
      <c r="C589" s="9" t="s">
        <v>384</v>
      </c>
      <c r="D589" s="8">
        <v>36796</v>
      </c>
      <c r="E589" s="10" t="str">
        <f t="shared" si="18"/>
        <v>初段</v>
      </c>
      <c r="F589" s="10" t="str">
        <f t="shared" si="19"/>
        <v>除外</v>
      </c>
      <c r="G589" s="13" t="s">
        <v>1697</v>
      </c>
      <c r="H589" s="14">
        <v>1128383</v>
      </c>
    </row>
    <row r="590" spans="1:8" ht="30" customHeight="1">
      <c r="A590" s="7">
        <v>584</v>
      </c>
      <c r="B590" s="9" t="s">
        <v>385</v>
      </c>
      <c r="C590" s="9" t="s">
        <v>47</v>
      </c>
      <c r="D590" s="8">
        <v>38763</v>
      </c>
      <c r="E590" s="10" t="str">
        <f t="shared" si="18"/>
        <v>初段</v>
      </c>
      <c r="F590" s="10" t="str">
        <f t="shared" si="19"/>
        <v>除外</v>
      </c>
      <c r="G590" s="13" t="s">
        <v>1698</v>
      </c>
      <c r="H590" s="14">
        <v>1128126</v>
      </c>
    </row>
    <row r="591" spans="1:8" ht="30" customHeight="1">
      <c r="A591" s="7">
        <v>585</v>
      </c>
      <c r="B591" s="9" t="s">
        <v>386</v>
      </c>
      <c r="C591" s="9" t="s">
        <v>387</v>
      </c>
      <c r="D591" s="8">
        <v>36222</v>
      </c>
      <c r="E591" s="10" t="str">
        <f t="shared" si="18"/>
        <v>初段</v>
      </c>
      <c r="F591" s="10" t="str">
        <f t="shared" si="19"/>
        <v>除外</v>
      </c>
      <c r="G591" s="13" t="s">
        <v>1699</v>
      </c>
      <c r="H591" s="14">
        <v>1128004</v>
      </c>
    </row>
    <row r="592" spans="1:8" ht="30" customHeight="1">
      <c r="A592" s="7">
        <v>586</v>
      </c>
      <c r="B592" s="9" t="s">
        <v>388</v>
      </c>
      <c r="C592" s="9" t="s">
        <v>27</v>
      </c>
      <c r="D592" s="8">
        <v>38196</v>
      </c>
      <c r="E592" s="10" t="str">
        <f t="shared" si="18"/>
        <v>初段</v>
      </c>
      <c r="F592" s="10" t="str">
        <f t="shared" si="19"/>
        <v>除外</v>
      </c>
      <c r="G592" s="13" t="s">
        <v>1700</v>
      </c>
      <c r="H592" s="14">
        <v>1127343</v>
      </c>
    </row>
    <row r="593" spans="1:8" ht="30" customHeight="1">
      <c r="A593" s="7">
        <v>587</v>
      </c>
      <c r="B593" s="9" t="s">
        <v>389</v>
      </c>
      <c r="C593" s="9" t="s">
        <v>29</v>
      </c>
      <c r="D593" s="8">
        <v>38987</v>
      </c>
      <c r="E593" s="10" t="str">
        <f t="shared" si="18"/>
        <v>初段</v>
      </c>
      <c r="F593" s="10" t="str">
        <f t="shared" si="19"/>
        <v>除外</v>
      </c>
      <c r="G593" s="13" t="s">
        <v>1701</v>
      </c>
      <c r="H593" s="14">
        <v>1127248</v>
      </c>
    </row>
    <row r="594" spans="1:8" ht="30" customHeight="1">
      <c r="A594" s="7">
        <v>588</v>
      </c>
      <c r="B594" s="9" t="s">
        <v>390</v>
      </c>
      <c r="C594" s="9" t="s">
        <v>391</v>
      </c>
      <c r="D594" s="8">
        <v>38903</v>
      </c>
      <c r="E594" s="10" t="str">
        <f t="shared" si="18"/>
        <v>初段</v>
      </c>
      <c r="F594" s="10" t="str">
        <f t="shared" si="19"/>
        <v>除外</v>
      </c>
      <c r="G594" s="13" t="s">
        <v>1702</v>
      </c>
      <c r="H594" s="14">
        <v>1125197</v>
      </c>
    </row>
    <row r="595" spans="1:8" ht="30" customHeight="1">
      <c r="A595" s="7">
        <v>589</v>
      </c>
      <c r="B595" s="9" t="s">
        <v>392</v>
      </c>
      <c r="C595" s="9" t="s">
        <v>393</v>
      </c>
      <c r="D595" s="8">
        <v>35480</v>
      </c>
      <c r="E595" s="10" t="str">
        <f t="shared" si="18"/>
        <v>初段</v>
      </c>
      <c r="F595" s="10" t="str">
        <f t="shared" si="19"/>
        <v>除外</v>
      </c>
      <c r="G595" s="13" t="s">
        <v>1703</v>
      </c>
      <c r="H595" s="14">
        <v>1124871</v>
      </c>
    </row>
    <row r="596" spans="1:8" ht="30" customHeight="1">
      <c r="A596" s="7">
        <v>590</v>
      </c>
      <c r="B596" s="9" t="s">
        <v>394</v>
      </c>
      <c r="C596" s="9" t="s">
        <v>395</v>
      </c>
      <c r="D596" s="8">
        <v>39218</v>
      </c>
      <c r="E596" s="10" t="str">
        <f t="shared" si="18"/>
        <v>初段</v>
      </c>
      <c r="F596" s="10" t="str">
        <f t="shared" si="19"/>
        <v>除外</v>
      </c>
      <c r="G596" s="13" t="s">
        <v>1704</v>
      </c>
      <c r="H596" s="14">
        <v>1122843</v>
      </c>
    </row>
    <row r="597" spans="1:8" ht="30" customHeight="1">
      <c r="A597" s="7">
        <v>591</v>
      </c>
      <c r="B597" s="9" t="s">
        <v>396</v>
      </c>
      <c r="C597" s="9" t="s">
        <v>19</v>
      </c>
      <c r="D597" s="8">
        <v>39792</v>
      </c>
      <c r="E597" s="10" t="str">
        <f t="shared" si="18"/>
        <v>初段</v>
      </c>
      <c r="F597" s="10" t="str">
        <f t="shared" si="19"/>
        <v>除外</v>
      </c>
      <c r="G597" s="13" t="s">
        <v>1705</v>
      </c>
      <c r="H597" s="14">
        <v>1121713</v>
      </c>
    </row>
    <row r="598" spans="1:8" ht="30" customHeight="1">
      <c r="A598" s="7">
        <v>592</v>
      </c>
      <c r="B598" s="9" t="s">
        <v>397</v>
      </c>
      <c r="C598" s="9" t="s">
        <v>50</v>
      </c>
      <c r="D598" s="8">
        <v>39099</v>
      </c>
      <c r="E598" s="10" t="str">
        <f t="shared" si="18"/>
        <v>初段</v>
      </c>
      <c r="F598" s="10" t="str">
        <f t="shared" si="19"/>
        <v>除外</v>
      </c>
      <c r="G598" s="13" t="s">
        <v>1706</v>
      </c>
      <c r="H598" s="14">
        <v>1119255</v>
      </c>
    </row>
    <row r="599" spans="1:8" ht="30" customHeight="1">
      <c r="A599" s="7">
        <v>593</v>
      </c>
      <c r="B599" s="9" t="s">
        <v>398</v>
      </c>
      <c r="C599" s="9" t="s">
        <v>100</v>
      </c>
      <c r="D599" s="8">
        <v>39281</v>
      </c>
      <c r="E599" s="10" t="str">
        <f t="shared" si="18"/>
        <v>初段</v>
      </c>
      <c r="F599" s="10" t="str">
        <f t="shared" si="19"/>
        <v>除外</v>
      </c>
      <c r="G599" s="13" t="s">
        <v>1707</v>
      </c>
      <c r="H599" s="14">
        <v>1118921</v>
      </c>
    </row>
    <row r="600" spans="1:8" ht="30" customHeight="1">
      <c r="A600" s="7">
        <v>594</v>
      </c>
      <c r="B600" s="9" t="s">
        <v>399</v>
      </c>
      <c r="C600" s="9" t="s">
        <v>400</v>
      </c>
      <c r="D600" s="8">
        <v>38756</v>
      </c>
      <c r="E600" s="10" t="str">
        <f t="shared" si="18"/>
        <v>初段</v>
      </c>
      <c r="F600" s="10" t="str">
        <f t="shared" si="19"/>
        <v>除外</v>
      </c>
      <c r="G600" s="13" t="s">
        <v>1708</v>
      </c>
      <c r="H600" s="14">
        <v>1118783</v>
      </c>
    </row>
    <row r="601" spans="1:8" ht="30" customHeight="1">
      <c r="A601" s="7">
        <v>595</v>
      </c>
      <c r="B601" s="9" t="s">
        <v>1709</v>
      </c>
      <c r="C601" s="9" t="s">
        <v>682</v>
      </c>
      <c r="D601" s="8">
        <v>43040</v>
      </c>
      <c r="E601" s="10" t="str">
        <f t="shared" si="18"/>
        <v>初段</v>
      </c>
      <c r="F601" s="10" t="str">
        <f t="shared" si="19"/>
        <v>採用候補</v>
      </c>
      <c r="G601" s="13" t="s">
        <v>1710</v>
      </c>
      <c r="H601" s="14">
        <v>1118054</v>
      </c>
    </row>
    <row r="602" spans="1:8" ht="30" customHeight="1">
      <c r="A602" s="7">
        <v>596</v>
      </c>
      <c r="B602" s="9" t="s">
        <v>1711</v>
      </c>
      <c r="C602" s="9" t="s">
        <v>1712</v>
      </c>
      <c r="D602" s="8">
        <v>44039</v>
      </c>
      <c r="E602" s="10" t="str">
        <f t="shared" si="18"/>
        <v>初段</v>
      </c>
      <c r="F602" s="10" t="str">
        <f t="shared" si="19"/>
        <v>採用候補</v>
      </c>
      <c r="G602" s="13" t="s">
        <v>1713</v>
      </c>
      <c r="H602" s="14">
        <v>1117056</v>
      </c>
    </row>
    <row r="603" spans="1:8" ht="30" customHeight="1">
      <c r="A603" s="7">
        <v>597</v>
      </c>
      <c r="B603" s="9" t="s">
        <v>1714</v>
      </c>
      <c r="C603" s="9" t="s">
        <v>679</v>
      </c>
      <c r="D603" s="8">
        <v>45488</v>
      </c>
      <c r="E603" s="10" t="str">
        <f t="shared" si="18"/>
        <v>初段</v>
      </c>
      <c r="F603" s="10" t="str">
        <f t="shared" si="19"/>
        <v>採用候補</v>
      </c>
      <c r="G603" s="13" t="s">
        <v>1715</v>
      </c>
      <c r="H603" s="14">
        <v>1116799</v>
      </c>
    </row>
    <row r="604" spans="1:8" ht="42" customHeight="1">
      <c r="A604" s="7">
        <v>598</v>
      </c>
      <c r="B604" s="9" t="s">
        <v>1716</v>
      </c>
      <c r="C604" s="9" t="s">
        <v>787</v>
      </c>
      <c r="D604" s="8">
        <v>43558</v>
      </c>
      <c r="E604" s="10" t="str">
        <f t="shared" si="18"/>
        <v>初段</v>
      </c>
      <c r="F604" s="10" t="str">
        <f t="shared" si="19"/>
        <v>採用候補</v>
      </c>
      <c r="G604" s="13" t="s">
        <v>1717</v>
      </c>
      <c r="H604" s="14">
        <v>1116320</v>
      </c>
    </row>
    <row r="605" spans="1:8" ht="30" customHeight="1">
      <c r="A605" s="7">
        <v>599</v>
      </c>
      <c r="B605" s="9" t="s">
        <v>401</v>
      </c>
      <c r="C605" s="9" t="s">
        <v>47</v>
      </c>
      <c r="D605" s="8">
        <v>38763</v>
      </c>
      <c r="E605" s="10" t="str">
        <f t="shared" si="18"/>
        <v>初段</v>
      </c>
      <c r="F605" s="10" t="str">
        <f t="shared" si="19"/>
        <v>除外</v>
      </c>
      <c r="G605" s="13" t="s">
        <v>1718</v>
      </c>
      <c r="H605" s="14">
        <v>1116220</v>
      </c>
    </row>
    <row r="606" spans="1:8" ht="30" customHeight="1">
      <c r="A606" s="7">
        <v>600</v>
      </c>
      <c r="B606" s="9" t="s">
        <v>1719</v>
      </c>
      <c r="C606" s="9" t="s">
        <v>955</v>
      </c>
      <c r="D606" s="8">
        <v>41150</v>
      </c>
      <c r="E606" s="10" t="str">
        <f t="shared" si="18"/>
        <v>初段</v>
      </c>
      <c r="F606" s="10" t="str">
        <f t="shared" si="19"/>
        <v>採用候補</v>
      </c>
      <c r="G606" s="13" t="s">
        <v>1720</v>
      </c>
      <c r="H606" s="14">
        <v>1116086</v>
      </c>
    </row>
    <row r="607" spans="1:8" ht="30" customHeight="1">
      <c r="A607" s="7">
        <v>601</v>
      </c>
      <c r="B607" s="9" t="s">
        <v>1721</v>
      </c>
      <c r="C607" s="9" t="s">
        <v>780</v>
      </c>
      <c r="D607" s="8">
        <v>43117</v>
      </c>
      <c r="E607" s="10" t="str">
        <f t="shared" si="18"/>
        <v>二段</v>
      </c>
      <c r="F607" s="10" t="str">
        <f t="shared" si="19"/>
        <v>採用候補</v>
      </c>
      <c r="G607" s="13" t="s">
        <v>1722</v>
      </c>
      <c r="H607" s="14">
        <v>1116079</v>
      </c>
    </row>
    <row r="608" spans="1:8" ht="30" customHeight="1">
      <c r="A608" s="7">
        <v>602</v>
      </c>
      <c r="B608" s="9" t="s">
        <v>1723</v>
      </c>
      <c r="C608" s="9" t="s">
        <v>1724</v>
      </c>
      <c r="D608" s="8">
        <v>45668</v>
      </c>
      <c r="E608" s="10" t="str">
        <f t="shared" si="18"/>
        <v>二段</v>
      </c>
      <c r="F608" s="10" t="str">
        <f t="shared" si="19"/>
        <v>採用候補</v>
      </c>
      <c r="G608" s="13" t="s">
        <v>1725</v>
      </c>
      <c r="H608" s="14">
        <v>1114756</v>
      </c>
    </row>
    <row r="609" spans="1:8" ht="30" customHeight="1">
      <c r="A609" s="7">
        <v>603</v>
      </c>
      <c r="B609" s="9" t="s">
        <v>402</v>
      </c>
      <c r="C609" s="9" t="s">
        <v>214</v>
      </c>
      <c r="D609" s="8">
        <v>32852</v>
      </c>
      <c r="E609" s="10" t="str">
        <f t="shared" si="18"/>
        <v>二段</v>
      </c>
      <c r="F609" s="10" t="str">
        <f t="shared" si="19"/>
        <v>除外</v>
      </c>
      <c r="G609" s="13" t="s">
        <v>1726</v>
      </c>
      <c r="H609" s="14">
        <v>1113431</v>
      </c>
    </row>
    <row r="610" spans="1:8" ht="30" customHeight="1">
      <c r="A610" s="7">
        <v>604</v>
      </c>
      <c r="B610" s="9" t="s">
        <v>403</v>
      </c>
      <c r="C610" s="9" t="s">
        <v>404</v>
      </c>
      <c r="D610" s="8">
        <v>37006</v>
      </c>
      <c r="E610" s="10" t="str">
        <f t="shared" si="18"/>
        <v>二段</v>
      </c>
      <c r="F610" s="10" t="str">
        <f t="shared" si="19"/>
        <v>除外</v>
      </c>
      <c r="G610" s="13" t="s">
        <v>1727</v>
      </c>
      <c r="H610" s="14">
        <v>1112933</v>
      </c>
    </row>
    <row r="611" spans="1:8" ht="30" customHeight="1">
      <c r="A611" s="7">
        <v>605</v>
      </c>
      <c r="B611" s="9" t="s">
        <v>1728</v>
      </c>
      <c r="C611" s="9" t="s">
        <v>955</v>
      </c>
      <c r="D611" s="8">
        <v>41297</v>
      </c>
      <c r="E611" s="10" t="str">
        <f t="shared" si="18"/>
        <v>二段</v>
      </c>
      <c r="F611" s="10" t="str">
        <f t="shared" si="19"/>
        <v>採用候補</v>
      </c>
      <c r="G611" s="13" t="s">
        <v>1729</v>
      </c>
      <c r="H611" s="14">
        <v>1111715</v>
      </c>
    </row>
    <row r="612" spans="1:8" ht="30" customHeight="1">
      <c r="A612" s="7">
        <v>606</v>
      </c>
      <c r="B612" s="9" t="s">
        <v>405</v>
      </c>
      <c r="C612" s="9" t="s">
        <v>406</v>
      </c>
      <c r="D612" s="8">
        <v>34031</v>
      </c>
      <c r="E612" s="10" t="str">
        <f t="shared" si="18"/>
        <v>二段</v>
      </c>
      <c r="F612" s="10" t="str">
        <f t="shared" si="19"/>
        <v>除外</v>
      </c>
      <c r="G612" s="13" t="s">
        <v>1730</v>
      </c>
      <c r="H612" s="14">
        <v>1111676</v>
      </c>
    </row>
    <row r="613" spans="1:8" ht="30" customHeight="1">
      <c r="A613" s="7">
        <v>607</v>
      </c>
      <c r="B613" s="9" t="s">
        <v>407</v>
      </c>
      <c r="C613" s="9" t="s">
        <v>400</v>
      </c>
      <c r="D613" s="8">
        <v>32198</v>
      </c>
      <c r="E613" s="10" t="str">
        <f t="shared" si="18"/>
        <v>二段</v>
      </c>
      <c r="F613" s="10" t="str">
        <f t="shared" si="19"/>
        <v>除外</v>
      </c>
      <c r="G613" s="13" t="s">
        <v>1731</v>
      </c>
      <c r="H613" s="14">
        <v>1109893</v>
      </c>
    </row>
    <row r="614" spans="1:8" ht="30" customHeight="1">
      <c r="A614" s="7">
        <v>608</v>
      </c>
      <c r="B614" s="9" t="s">
        <v>1732</v>
      </c>
      <c r="C614" s="9" t="s">
        <v>780</v>
      </c>
      <c r="D614" s="8">
        <v>42312</v>
      </c>
      <c r="E614" s="10" t="str">
        <f t="shared" si="18"/>
        <v>二段</v>
      </c>
      <c r="F614" s="10" t="str">
        <f t="shared" si="19"/>
        <v>採用候補</v>
      </c>
      <c r="G614" s="13" t="s">
        <v>1733</v>
      </c>
      <c r="H614" s="14">
        <v>1109246</v>
      </c>
    </row>
    <row r="615" spans="1:8" ht="30" customHeight="1">
      <c r="A615" s="7">
        <v>609</v>
      </c>
      <c r="B615" s="9" t="s">
        <v>408</v>
      </c>
      <c r="C615" s="9" t="s">
        <v>409</v>
      </c>
      <c r="D615" s="8">
        <v>38840</v>
      </c>
      <c r="E615" s="10" t="str">
        <f t="shared" si="18"/>
        <v>二段</v>
      </c>
      <c r="F615" s="10" t="str">
        <f t="shared" si="19"/>
        <v>除外</v>
      </c>
      <c r="G615" s="13" t="s">
        <v>1734</v>
      </c>
      <c r="H615" s="14">
        <v>1107604</v>
      </c>
    </row>
    <row r="616" spans="1:8" ht="30" customHeight="1">
      <c r="A616" s="7">
        <v>610</v>
      </c>
      <c r="B616" s="9" t="s">
        <v>410</v>
      </c>
      <c r="C616" s="9" t="s">
        <v>404</v>
      </c>
      <c r="D616" s="8">
        <v>39994</v>
      </c>
      <c r="E616" s="10" t="str">
        <f t="shared" si="18"/>
        <v>二段</v>
      </c>
      <c r="F616" s="10" t="str">
        <f t="shared" si="19"/>
        <v>除外</v>
      </c>
      <c r="G616" s="13" t="s">
        <v>1735</v>
      </c>
      <c r="H616" s="14">
        <v>1107400</v>
      </c>
    </row>
    <row r="617" spans="1:8" ht="30" customHeight="1">
      <c r="A617" s="7">
        <v>611</v>
      </c>
      <c r="B617" s="9" t="s">
        <v>1736</v>
      </c>
      <c r="C617" s="9" t="s">
        <v>1737</v>
      </c>
      <c r="D617" s="8">
        <v>44874</v>
      </c>
      <c r="E617" s="10" t="str">
        <f t="shared" si="18"/>
        <v>二段</v>
      </c>
      <c r="F617" s="10" t="str">
        <f t="shared" si="19"/>
        <v>採用候補</v>
      </c>
      <c r="G617" s="13" t="s">
        <v>1738</v>
      </c>
      <c r="H617" s="14">
        <v>1107065</v>
      </c>
    </row>
    <row r="618" spans="1:8" ht="42" customHeight="1">
      <c r="A618" s="7">
        <v>612</v>
      </c>
      <c r="B618" s="9" t="s">
        <v>1739</v>
      </c>
      <c r="C618" s="9" t="s">
        <v>806</v>
      </c>
      <c r="D618" s="8">
        <v>41927</v>
      </c>
      <c r="E618" s="10" t="str">
        <f t="shared" si="18"/>
        <v>二段</v>
      </c>
      <c r="F618" s="10" t="str">
        <f t="shared" si="19"/>
        <v>採用候補</v>
      </c>
      <c r="G618" s="13" t="s">
        <v>1740</v>
      </c>
      <c r="H618" s="14">
        <v>1104747</v>
      </c>
    </row>
    <row r="619" spans="1:8" ht="30" customHeight="1">
      <c r="A619" s="7">
        <v>613</v>
      </c>
      <c r="B619" s="9" t="s">
        <v>1741</v>
      </c>
      <c r="C619" s="9" t="s">
        <v>758</v>
      </c>
      <c r="D619" s="8">
        <v>40821</v>
      </c>
      <c r="E619" s="10" t="str">
        <f t="shared" si="18"/>
        <v>二段</v>
      </c>
      <c r="F619" s="10" t="str">
        <f t="shared" si="19"/>
        <v>採用候補</v>
      </c>
      <c r="G619" s="13" t="s">
        <v>1742</v>
      </c>
      <c r="H619" s="14">
        <v>1102234</v>
      </c>
    </row>
    <row r="620" spans="1:8" ht="30" customHeight="1">
      <c r="A620" s="7">
        <v>614</v>
      </c>
      <c r="B620" s="9" t="s">
        <v>411</v>
      </c>
      <c r="C620" s="9" t="s">
        <v>412</v>
      </c>
      <c r="D620" s="8">
        <v>38238</v>
      </c>
      <c r="E620" s="10" t="str">
        <f t="shared" si="18"/>
        <v>二段</v>
      </c>
      <c r="F620" s="10" t="str">
        <f t="shared" si="19"/>
        <v>除外</v>
      </c>
      <c r="G620" s="13" t="s">
        <v>1743</v>
      </c>
      <c r="H620" s="14">
        <v>1101187</v>
      </c>
    </row>
    <row r="621" spans="1:8" ht="42" customHeight="1">
      <c r="A621" s="7">
        <v>615</v>
      </c>
      <c r="B621" s="9" t="s">
        <v>413</v>
      </c>
      <c r="C621" s="9" t="s">
        <v>67</v>
      </c>
      <c r="D621" s="8">
        <v>38399</v>
      </c>
      <c r="E621" s="10" t="str">
        <f t="shared" si="18"/>
        <v>二段</v>
      </c>
      <c r="F621" s="10" t="str">
        <f t="shared" si="19"/>
        <v>除外</v>
      </c>
      <c r="G621" s="13" t="s">
        <v>1744</v>
      </c>
      <c r="H621" s="14">
        <v>1099261</v>
      </c>
    </row>
    <row r="622" spans="1:8" ht="30" customHeight="1">
      <c r="A622" s="7">
        <v>616</v>
      </c>
      <c r="B622" s="9" t="s">
        <v>414</v>
      </c>
      <c r="C622" s="9" t="s">
        <v>91</v>
      </c>
      <c r="D622" s="8">
        <v>35970</v>
      </c>
      <c r="E622" s="10" t="str">
        <f t="shared" si="18"/>
        <v>二段</v>
      </c>
      <c r="F622" s="10" t="str">
        <f t="shared" si="19"/>
        <v>除外</v>
      </c>
      <c r="G622" s="13" t="s">
        <v>1745</v>
      </c>
      <c r="H622" s="14">
        <v>1098799</v>
      </c>
    </row>
    <row r="623" spans="1:8" ht="30" customHeight="1">
      <c r="A623" s="7">
        <v>617</v>
      </c>
      <c r="B623" s="9" t="s">
        <v>415</v>
      </c>
      <c r="C623" s="9" t="s">
        <v>131</v>
      </c>
      <c r="D623" s="8">
        <v>38903</v>
      </c>
      <c r="E623" s="10" t="str">
        <f t="shared" si="18"/>
        <v>二段</v>
      </c>
      <c r="F623" s="10" t="str">
        <f t="shared" si="19"/>
        <v>除外</v>
      </c>
      <c r="G623" s="13" t="s">
        <v>1746</v>
      </c>
      <c r="H623" s="14">
        <v>1098389</v>
      </c>
    </row>
    <row r="624" spans="1:8" ht="30" customHeight="1">
      <c r="A624" s="7">
        <v>618</v>
      </c>
      <c r="B624" s="9" t="s">
        <v>416</v>
      </c>
      <c r="C624" s="9" t="s">
        <v>417</v>
      </c>
      <c r="D624" s="8">
        <v>37895</v>
      </c>
      <c r="E624" s="10" t="str">
        <f t="shared" si="18"/>
        <v>二段</v>
      </c>
      <c r="F624" s="10" t="str">
        <f t="shared" si="19"/>
        <v>除外</v>
      </c>
      <c r="G624" s="13" t="s">
        <v>1747</v>
      </c>
      <c r="H624" s="14">
        <v>1096873</v>
      </c>
    </row>
    <row r="625" spans="1:8" ht="30" customHeight="1">
      <c r="A625" s="7">
        <v>619</v>
      </c>
      <c r="B625" s="9" t="s">
        <v>418</v>
      </c>
      <c r="C625" s="9" t="s">
        <v>280</v>
      </c>
      <c r="D625" s="8">
        <v>32701</v>
      </c>
      <c r="E625" s="10" t="str">
        <f t="shared" si="18"/>
        <v>二段</v>
      </c>
      <c r="F625" s="10" t="str">
        <f t="shared" si="19"/>
        <v>除外</v>
      </c>
      <c r="G625" s="13" t="s">
        <v>1748</v>
      </c>
      <c r="H625" s="14">
        <v>1095376</v>
      </c>
    </row>
    <row r="626" spans="1:8" ht="30" customHeight="1">
      <c r="A626" s="7">
        <v>620</v>
      </c>
      <c r="B626" s="9" t="s">
        <v>1749</v>
      </c>
      <c r="C626" s="9" t="s">
        <v>682</v>
      </c>
      <c r="D626" s="8">
        <v>41752</v>
      </c>
      <c r="E626" s="10" t="str">
        <f t="shared" si="18"/>
        <v>二段</v>
      </c>
      <c r="F626" s="10" t="str">
        <f t="shared" si="19"/>
        <v>採用候補</v>
      </c>
      <c r="G626" s="13" t="s">
        <v>1750</v>
      </c>
      <c r="H626" s="14">
        <v>1095065</v>
      </c>
    </row>
    <row r="627" spans="1:8" ht="30" customHeight="1">
      <c r="A627" s="7">
        <v>621</v>
      </c>
      <c r="B627" s="9" t="s">
        <v>1751</v>
      </c>
      <c r="C627" s="9" t="s">
        <v>1752</v>
      </c>
      <c r="D627" s="8">
        <v>42683</v>
      </c>
      <c r="E627" s="10" t="str">
        <f t="shared" si="18"/>
        <v>二段</v>
      </c>
      <c r="F627" s="10" t="str">
        <f t="shared" si="19"/>
        <v>採用候補</v>
      </c>
      <c r="G627" s="13" t="s">
        <v>1753</v>
      </c>
      <c r="H627" s="14">
        <v>1093912</v>
      </c>
    </row>
    <row r="628" spans="1:8" ht="30" customHeight="1">
      <c r="A628" s="7">
        <v>622</v>
      </c>
      <c r="B628" s="9" t="s">
        <v>419</v>
      </c>
      <c r="C628" s="9" t="s">
        <v>83</v>
      </c>
      <c r="D628" s="8">
        <v>36938</v>
      </c>
      <c r="E628" s="10" t="str">
        <f t="shared" si="18"/>
        <v>二段</v>
      </c>
      <c r="F628" s="10" t="str">
        <f t="shared" si="19"/>
        <v>除外</v>
      </c>
      <c r="G628" s="13" t="s">
        <v>1754</v>
      </c>
      <c r="H628" s="14">
        <v>1093337</v>
      </c>
    </row>
    <row r="629" spans="1:8" ht="30" customHeight="1">
      <c r="A629" s="7">
        <v>623</v>
      </c>
      <c r="B629" s="9" t="s">
        <v>420</v>
      </c>
      <c r="C629" s="9" t="s">
        <v>153</v>
      </c>
      <c r="D629" s="8">
        <v>36551</v>
      </c>
      <c r="E629" s="10" t="str">
        <f t="shared" si="18"/>
        <v>二段</v>
      </c>
      <c r="F629" s="10" t="str">
        <f t="shared" si="19"/>
        <v>除外</v>
      </c>
      <c r="G629" s="13" t="s">
        <v>1755</v>
      </c>
      <c r="H629" s="14">
        <v>1093011</v>
      </c>
    </row>
    <row r="630" spans="1:8" ht="30" customHeight="1">
      <c r="A630" s="7">
        <v>624</v>
      </c>
      <c r="B630" s="9" t="s">
        <v>1756</v>
      </c>
      <c r="C630" s="9" t="s">
        <v>268</v>
      </c>
      <c r="D630" s="8">
        <v>42543</v>
      </c>
      <c r="E630" s="10" t="str">
        <f t="shared" si="18"/>
        <v>二段</v>
      </c>
      <c r="F630" s="10" t="str">
        <f t="shared" si="19"/>
        <v>採用候補</v>
      </c>
      <c r="G630" s="13" t="s">
        <v>1757</v>
      </c>
      <c r="H630" s="14">
        <v>1092868</v>
      </c>
    </row>
    <row r="631" spans="1:8" ht="30" customHeight="1">
      <c r="A631" s="7">
        <v>625</v>
      </c>
      <c r="B631" s="9" t="s">
        <v>1758</v>
      </c>
      <c r="C631" s="9" t="s">
        <v>738</v>
      </c>
      <c r="D631" s="8">
        <v>44573</v>
      </c>
      <c r="E631" s="10" t="str">
        <f t="shared" si="18"/>
        <v>二段</v>
      </c>
      <c r="F631" s="10" t="str">
        <f t="shared" si="19"/>
        <v>採用候補</v>
      </c>
      <c r="G631" s="13" t="s">
        <v>1759</v>
      </c>
      <c r="H631" s="14">
        <v>1091867</v>
      </c>
    </row>
    <row r="632" spans="1:8" ht="30" customHeight="1">
      <c r="A632" s="7">
        <v>626</v>
      </c>
      <c r="B632" s="9" t="s">
        <v>421</v>
      </c>
      <c r="C632" s="9" t="s">
        <v>83</v>
      </c>
      <c r="D632" s="8">
        <v>36138</v>
      </c>
      <c r="E632" s="10" t="str">
        <f t="shared" si="18"/>
        <v>二段</v>
      </c>
      <c r="F632" s="10" t="str">
        <f t="shared" si="19"/>
        <v>除外</v>
      </c>
      <c r="G632" s="13" t="s">
        <v>1760</v>
      </c>
      <c r="H632" s="14">
        <v>1091552</v>
      </c>
    </row>
    <row r="633" spans="1:8" ht="30" customHeight="1">
      <c r="A633" s="7">
        <v>627</v>
      </c>
      <c r="B633" s="9" t="s">
        <v>422</v>
      </c>
      <c r="C633" s="9" t="s">
        <v>423</v>
      </c>
      <c r="D633" s="8">
        <v>39288</v>
      </c>
      <c r="E633" s="10" t="str">
        <f t="shared" si="18"/>
        <v>二段</v>
      </c>
      <c r="F633" s="10" t="str">
        <f t="shared" si="19"/>
        <v>除外</v>
      </c>
      <c r="G633" s="13" t="s">
        <v>1761</v>
      </c>
      <c r="H633" s="14">
        <v>1089124</v>
      </c>
    </row>
    <row r="634" spans="1:8" ht="30" customHeight="1">
      <c r="A634" s="7">
        <v>628</v>
      </c>
      <c r="B634" s="9" t="s">
        <v>424</v>
      </c>
      <c r="C634" s="9" t="s">
        <v>45</v>
      </c>
      <c r="D634" s="8">
        <v>38854</v>
      </c>
      <c r="E634" s="10" t="str">
        <f t="shared" si="18"/>
        <v>二段</v>
      </c>
      <c r="F634" s="10" t="str">
        <f t="shared" si="19"/>
        <v>除外</v>
      </c>
      <c r="G634" s="13" t="s">
        <v>1762</v>
      </c>
      <c r="H634" s="14">
        <v>1088845</v>
      </c>
    </row>
    <row r="635" spans="1:8" ht="30" customHeight="1">
      <c r="A635" s="7">
        <v>629</v>
      </c>
      <c r="B635" s="9" t="s">
        <v>425</v>
      </c>
      <c r="C635" s="9" t="s">
        <v>426</v>
      </c>
      <c r="D635" s="8">
        <v>38497</v>
      </c>
      <c r="E635" s="10" t="str">
        <f t="shared" si="18"/>
        <v>二段</v>
      </c>
      <c r="F635" s="10" t="str">
        <f t="shared" si="19"/>
        <v>除外</v>
      </c>
      <c r="G635" s="13" t="s">
        <v>1763</v>
      </c>
      <c r="H635" s="14">
        <v>1086129</v>
      </c>
    </row>
    <row r="636" spans="1:8" ht="42" customHeight="1">
      <c r="A636" s="7">
        <v>630</v>
      </c>
      <c r="B636" s="9" t="s">
        <v>1764</v>
      </c>
      <c r="C636" s="9" t="s">
        <v>806</v>
      </c>
      <c r="D636" s="8">
        <v>42193</v>
      </c>
      <c r="E636" s="10" t="str">
        <f t="shared" si="18"/>
        <v>二段</v>
      </c>
      <c r="F636" s="10" t="str">
        <f t="shared" si="19"/>
        <v>採用候補</v>
      </c>
      <c r="G636" s="13" t="s">
        <v>1765</v>
      </c>
      <c r="H636" s="14">
        <v>1084609</v>
      </c>
    </row>
    <row r="637" spans="1:8" ht="30" customHeight="1">
      <c r="A637" s="7">
        <v>631</v>
      </c>
      <c r="B637" s="9" t="s">
        <v>1766</v>
      </c>
      <c r="C637" s="9" t="s">
        <v>1767</v>
      </c>
      <c r="D637" s="8">
        <v>44706</v>
      </c>
      <c r="E637" s="10" t="str">
        <f t="shared" si="18"/>
        <v>二段</v>
      </c>
      <c r="F637" s="10" t="str">
        <f t="shared" si="19"/>
        <v>採用候補</v>
      </c>
      <c r="G637" s="13" t="s">
        <v>1768</v>
      </c>
      <c r="H637" s="14">
        <v>1084329</v>
      </c>
    </row>
    <row r="638" spans="1:8" ht="30" customHeight="1">
      <c r="A638" s="7">
        <v>632</v>
      </c>
      <c r="B638" s="9" t="s">
        <v>427</v>
      </c>
      <c r="C638" s="9" t="s">
        <v>428</v>
      </c>
      <c r="D638" s="8">
        <v>37316</v>
      </c>
      <c r="E638" s="10" t="str">
        <f t="shared" si="18"/>
        <v>二段</v>
      </c>
      <c r="F638" s="10" t="str">
        <f t="shared" si="19"/>
        <v>除外</v>
      </c>
      <c r="G638" s="13" t="s">
        <v>1769</v>
      </c>
      <c r="H638" s="14">
        <v>1083742</v>
      </c>
    </row>
    <row r="639" spans="1:8" ht="30" customHeight="1">
      <c r="A639" s="7">
        <v>633</v>
      </c>
      <c r="B639" s="9" t="s">
        <v>429</v>
      </c>
      <c r="C639" s="9" t="s">
        <v>430</v>
      </c>
      <c r="D639" s="8">
        <v>38586</v>
      </c>
      <c r="E639" s="10" t="str">
        <f t="shared" si="18"/>
        <v>二段</v>
      </c>
      <c r="F639" s="10" t="str">
        <f t="shared" si="19"/>
        <v>除外</v>
      </c>
      <c r="G639" s="13" t="s">
        <v>1770</v>
      </c>
      <c r="H639" s="14">
        <v>1082256</v>
      </c>
    </row>
    <row r="640" spans="1:8" ht="30" customHeight="1">
      <c r="A640" s="7">
        <v>634</v>
      </c>
      <c r="B640" s="9" t="s">
        <v>1771</v>
      </c>
      <c r="C640" s="9" t="s">
        <v>33</v>
      </c>
      <c r="D640" s="8">
        <v>40870</v>
      </c>
      <c r="E640" s="10" t="str">
        <f t="shared" si="18"/>
        <v>二段</v>
      </c>
      <c r="F640" s="10" t="str">
        <f t="shared" si="19"/>
        <v>採用候補</v>
      </c>
      <c r="G640" s="13" t="s">
        <v>1772</v>
      </c>
      <c r="H640" s="14">
        <v>1081636</v>
      </c>
    </row>
    <row r="641" spans="1:8" ht="30" customHeight="1">
      <c r="A641" s="7">
        <v>635</v>
      </c>
      <c r="B641" s="9" t="s">
        <v>431</v>
      </c>
      <c r="C641" s="9" t="s">
        <v>432</v>
      </c>
      <c r="D641" s="8">
        <v>38435</v>
      </c>
      <c r="E641" s="10" t="str">
        <f t="shared" si="18"/>
        <v>二段</v>
      </c>
      <c r="F641" s="10" t="str">
        <f t="shared" si="19"/>
        <v>除外</v>
      </c>
      <c r="G641" s="13" t="s">
        <v>1773</v>
      </c>
      <c r="H641" s="14">
        <v>1080406</v>
      </c>
    </row>
    <row r="642" spans="1:8" ht="42" customHeight="1">
      <c r="A642" s="7">
        <v>636</v>
      </c>
      <c r="B642" s="9" t="s">
        <v>1774</v>
      </c>
      <c r="C642" s="9" t="s">
        <v>1775</v>
      </c>
      <c r="D642" s="8">
        <v>43707</v>
      </c>
      <c r="E642" s="10" t="str">
        <f t="shared" si="18"/>
        <v>二段</v>
      </c>
      <c r="F642" s="10" t="str">
        <f t="shared" si="19"/>
        <v>採用候補</v>
      </c>
      <c r="G642" s="13" t="s">
        <v>1776</v>
      </c>
      <c r="H642" s="14">
        <v>1080021</v>
      </c>
    </row>
    <row r="643" spans="1:8" ht="30" customHeight="1">
      <c r="A643" s="7">
        <v>637</v>
      </c>
      <c r="B643" s="9" t="s">
        <v>1777</v>
      </c>
      <c r="C643" s="9" t="s">
        <v>1778</v>
      </c>
      <c r="D643" s="8">
        <v>40233</v>
      </c>
      <c r="E643" s="10" t="str">
        <f t="shared" si="18"/>
        <v>二段</v>
      </c>
      <c r="F643" s="10" t="str">
        <f t="shared" si="19"/>
        <v>採用候補</v>
      </c>
      <c r="G643" s="13" t="s">
        <v>1779</v>
      </c>
      <c r="H643" s="14">
        <v>1078199</v>
      </c>
    </row>
    <row r="644" spans="1:8" ht="42" customHeight="1">
      <c r="A644" s="7">
        <v>638</v>
      </c>
      <c r="B644" s="9" t="s">
        <v>1780</v>
      </c>
      <c r="C644" s="9" t="s">
        <v>1362</v>
      </c>
      <c r="D644" s="8">
        <v>43735</v>
      </c>
      <c r="E644" s="10" t="str">
        <f t="shared" si="18"/>
        <v>二段</v>
      </c>
      <c r="F644" s="10" t="str">
        <f t="shared" si="19"/>
        <v>採用候補</v>
      </c>
      <c r="G644" s="13" t="s">
        <v>1781</v>
      </c>
      <c r="H644" s="14">
        <v>1077052</v>
      </c>
    </row>
    <row r="645" spans="1:8" ht="30" customHeight="1">
      <c r="A645" s="7">
        <v>639</v>
      </c>
      <c r="B645" s="9" t="s">
        <v>433</v>
      </c>
      <c r="C645" s="9" t="s">
        <v>434</v>
      </c>
      <c r="D645" s="8">
        <v>38399</v>
      </c>
      <c r="E645" s="10" t="str">
        <f t="shared" si="18"/>
        <v>二段</v>
      </c>
      <c r="F645" s="10" t="str">
        <f t="shared" si="19"/>
        <v>除外</v>
      </c>
      <c r="G645" s="13" t="s">
        <v>1782</v>
      </c>
      <c r="H645" s="14">
        <v>1076644</v>
      </c>
    </row>
    <row r="646" spans="1:8" ht="30" customHeight="1">
      <c r="A646" s="7">
        <v>640</v>
      </c>
      <c r="B646" s="9" t="s">
        <v>1783</v>
      </c>
      <c r="C646" s="9" t="s">
        <v>1377</v>
      </c>
      <c r="D646" s="8">
        <v>42130</v>
      </c>
      <c r="E646" s="10" t="str">
        <f t="shared" si="18"/>
        <v>二段</v>
      </c>
      <c r="F646" s="10" t="str">
        <f t="shared" si="19"/>
        <v>採用候補</v>
      </c>
      <c r="G646" s="13" t="s">
        <v>1784</v>
      </c>
      <c r="H646" s="14">
        <v>1076431</v>
      </c>
    </row>
    <row r="647" spans="1:8" ht="30" customHeight="1">
      <c r="A647" s="7">
        <v>641</v>
      </c>
      <c r="B647" s="9" t="s">
        <v>1785</v>
      </c>
      <c r="C647" s="9" t="s">
        <v>923</v>
      </c>
      <c r="D647" s="8">
        <v>43705</v>
      </c>
      <c r="E647" s="10" t="str">
        <f t="shared" ref="E647:E710" si="20">CHOOSE(INT((A647-1)/100)+1,"5級","4級","3級","2級","1級","初段","二段","三段","四段","五段")</f>
        <v>二段</v>
      </c>
      <c r="F647" s="10" t="str">
        <f t="shared" ref="F647:F710" si="21">IF(D647&gt;=DATE(2010,1,1),"採用候補","除外")</f>
        <v>採用候補</v>
      </c>
      <c r="G647" s="13" t="s">
        <v>1786</v>
      </c>
      <c r="H647" s="14">
        <v>1075889</v>
      </c>
    </row>
    <row r="648" spans="1:8" ht="30" customHeight="1">
      <c r="A648" s="7">
        <v>642</v>
      </c>
      <c r="B648" s="9" t="s">
        <v>1787</v>
      </c>
      <c r="C648" s="9" t="s">
        <v>155</v>
      </c>
      <c r="D648" s="8">
        <v>42326</v>
      </c>
      <c r="E648" s="10" t="str">
        <f t="shared" si="20"/>
        <v>二段</v>
      </c>
      <c r="F648" s="10" t="str">
        <f t="shared" si="21"/>
        <v>採用候補</v>
      </c>
      <c r="G648" s="13" t="s">
        <v>1788</v>
      </c>
      <c r="H648" s="14">
        <v>1075752</v>
      </c>
    </row>
    <row r="649" spans="1:8" ht="30" customHeight="1">
      <c r="A649" s="7">
        <v>643</v>
      </c>
      <c r="B649" s="9" t="s">
        <v>435</v>
      </c>
      <c r="C649" s="9" t="s">
        <v>187</v>
      </c>
      <c r="D649" s="8">
        <v>33399</v>
      </c>
      <c r="E649" s="10" t="str">
        <f t="shared" si="20"/>
        <v>二段</v>
      </c>
      <c r="F649" s="10" t="str">
        <f t="shared" si="21"/>
        <v>除外</v>
      </c>
      <c r="G649" s="13" t="s">
        <v>1789</v>
      </c>
      <c r="H649" s="14">
        <v>1074640</v>
      </c>
    </row>
    <row r="650" spans="1:8" ht="30" customHeight="1">
      <c r="A650" s="7">
        <v>644</v>
      </c>
      <c r="B650" s="9" t="s">
        <v>1790</v>
      </c>
      <c r="C650" s="9" t="s">
        <v>1497</v>
      </c>
      <c r="D650" s="8">
        <v>45426</v>
      </c>
      <c r="E650" s="10" t="str">
        <f t="shared" si="20"/>
        <v>二段</v>
      </c>
      <c r="F650" s="10" t="str">
        <f t="shared" si="21"/>
        <v>採用候補</v>
      </c>
      <c r="G650" s="13" t="s">
        <v>1791</v>
      </c>
      <c r="H650" s="14">
        <v>1073870</v>
      </c>
    </row>
    <row r="651" spans="1:8" ht="30" customHeight="1">
      <c r="A651" s="7">
        <v>645</v>
      </c>
      <c r="B651" s="9" t="s">
        <v>1792</v>
      </c>
      <c r="C651" s="9" t="s">
        <v>12</v>
      </c>
      <c r="D651" s="8">
        <v>40716</v>
      </c>
      <c r="E651" s="10" t="str">
        <f t="shared" si="20"/>
        <v>二段</v>
      </c>
      <c r="F651" s="10" t="str">
        <f t="shared" si="21"/>
        <v>採用候補</v>
      </c>
      <c r="G651" s="13" t="s">
        <v>1793</v>
      </c>
      <c r="H651" s="14">
        <v>1072429</v>
      </c>
    </row>
    <row r="652" spans="1:8" ht="42" customHeight="1">
      <c r="A652" s="7">
        <v>646</v>
      </c>
      <c r="B652" s="9" t="s">
        <v>436</v>
      </c>
      <c r="C652" s="9" t="s">
        <v>310</v>
      </c>
      <c r="D652" s="8">
        <v>39757</v>
      </c>
      <c r="E652" s="10" t="str">
        <f t="shared" si="20"/>
        <v>二段</v>
      </c>
      <c r="F652" s="10" t="str">
        <f t="shared" si="21"/>
        <v>除外</v>
      </c>
      <c r="G652" s="13" t="s">
        <v>1794</v>
      </c>
      <c r="H652" s="14">
        <v>1071316</v>
      </c>
    </row>
    <row r="653" spans="1:8" ht="30" customHeight="1">
      <c r="A653" s="7">
        <v>647</v>
      </c>
      <c r="B653" s="9" t="s">
        <v>1795</v>
      </c>
      <c r="C653" s="9" t="s">
        <v>1796</v>
      </c>
      <c r="D653" s="8">
        <v>42346</v>
      </c>
      <c r="E653" s="10" t="str">
        <f t="shared" si="20"/>
        <v>二段</v>
      </c>
      <c r="F653" s="10" t="str">
        <f t="shared" si="21"/>
        <v>採用候補</v>
      </c>
      <c r="G653" s="13" t="s">
        <v>1797</v>
      </c>
      <c r="H653" s="14">
        <v>1070967</v>
      </c>
    </row>
    <row r="654" spans="1:8" ht="30" customHeight="1">
      <c r="A654" s="7">
        <v>648</v>
      </c>
      <c r="B654" s="9" t="s">
        <v>1798</v>
      </c>
      <c r="C654" s="9" t="s">
        <v>1799</v>
      </c>
      <c r="D654" s="8">
        <v>41654</v>
      </c>
      <c r="E654" s="10" t="str">
        <f t="shared" si="20"/>
        <v>二段</v>
      </c>
      <c r="F654" s="10" t="str">
        <f t="shared" si="21"/>
        <v>採用候補</v>
      </c>
      <c r="G654" s="13" t="s">
        <v>1800</v>
      </c>
      <c r="H654" s="14">
        <v>1070242</v>
      </c>
    </row>
    <row r="655" spans="1:8" ht="30" customHeight="1">
      <c r="A655" s="7">
        <v>649</v>
      </c>
      <c r="B655" s="9" t="s">
        <v>1801</v>
      </c>
      <c r="C655" s="9" t="s">
        <v>1802</v>
      </c>
      <c r="D655" s="8">
        <v>42773</v>
      </c>
      <c r="E655" s="10" t="str">
        <f t="shared" si="20"/>
        <v>二段</v>
      </c>
      <c r="F655" s="10" t="str">
        <f t="shared" si="21"/>
        <v>採用候補</v>
      </c>
      <c r="G655" s="13" t="s">
        <v>1803</v>
      </c>
      <c r="H655" s="14">
        <v>1067619</v>
      </c>
    </row>
    <row r="656" spans="1:8" ht="30" customHeight="1">
      <c r="A656" s="7">
        <v>650</v>
      </c>
      <c r="B656" s="9" t="s">
        <v>1804</v>
      </c>
      <c r="C656" s="9" t="s">
        <v>679</v>
      </c>
      <c r="D656" s="8">
        <v>42326</v>
      </c>
      <c r="E656" s="10" t="str">
        <f t="shared" si="20"/>
        <v>二段</v>
      </c>
      <c r="F656" s="10" t="str">
        <f t="shared" si="21"/>
        <v>採用候補</v>
      </c>
      <c r="G656" s="13" t="s">
        <v>1805</v>
      </c>
      <c r="H656" s="14">
        <v>1066509</v>
      </c>
    </row>
    <row r="657" spans="1:8" ht="30" customHeight="1">
      <c r="A657" s="7">
        <v>651</v>
      </c>
      <c r="B657" s="9" t="s">
        <v>1806</v>
      </c>
      <c r="C657" s="9" t="s">
        <v>124</v>
      </c>
      <c r="D657" s="8">
        <v>40695</v>
      </c>
      <c r="E657" s="10" t="str">
        <f t="shared" si="20"/>
        <v>二段</v>
      </c>
      <c r="F657" s="10" t="str">
        <f t="shared" si="21"/>
        <v>採用候補</v>
      </c>
      <c r="G657" s="13" t="s">
        <v>1807</v>
      </c>
      <c r="H657" s="14">
        <v>1066273</v>
      </c>
    </row>
    <row r="658" spans="1:8" ht="30" customHeight="1">
      <c r="A658" s="7">
        <v>652</v>
      </c>
      <c r="B658" s="9" t="s">
        <v>1808</v>
      </c>
      <c r="C658" s="9" t="s">
        <v>1809</v>
      </c>
      <c r="D658" s="8">
        <v>45345</v>
      </c>
      <c r="E658" s="10" t="str">
        <f t="shared" si="20"/>
        <v>二段</v>
      </c>
      <c r="F658" s="10" t="str">
        <f t="shared" si="21"/>
        <v>採用候補</v>
      </c>
      <c r="G658" s="13" t="s">
        <v>1810</v>
      </c>
      <c r="H658" s="14">
        <v>1063637</v>
      </c>
    </row>
    <row r="659" spans="1:8" ht="30" customHeight="1">
      <c r="A659" s="7">
        <v>653</v>
      </c>
      <c r="B659" s="9" t="s">
        <v>1811</v>
      </c>
      <c r="C659" s="9" t="s">
        <v>1478</v>
      </c>
      <c r="D659" s="8">
        <v>44111</v>
      </c>
      <c r="E659" s="10" t="str">
        <f t="shared" si="20"/>
        <v>二段</v>
      </c>
      <c r="F659" s="10" t="str">
        <f t="shared" si="21"/>
        <v>採用候補</v>
      </c>
      <c r="G659" s="13" t="s">
        <v>1812</v>
      </c>
      <c r="H659" s="14">
        <v>1063346</v>
      </c>
    </row>
    <row r="660" spans="1:8" ht="30" customHeight="1">
      <c r="A660" s="7">
        <v>654</v>
      </c>
      <c r="B660" s="9" t="s">
        <v>1813</v>
      </c>
      <c r="C660" s="9" t="s">
        <v>682</v>
      </c>
      <c r="D660" s="8">
        <v>45684</v>
      </c>
      <c r="E660" s="10" t="str">
        <f t="shared" si="20"/>
        <v>二段</v>
      </c>
      <c r="F660" s="10" t="str">
        <f t="shared" si="21"/>
        <v>採用候補</v>
      </c>
      <c r="G660" s="13" t="s">
        <v>1814</v>
      </c>
      <c r="H660" s="14">
        <v>1059804</v>
      </c>
    </row>
    <row r="661" spans="1:8" ht="42" customHeight="1">
      <c r="A661" s="7">
        <v>655</v>
      </c>
      <c r="B661" s="9" t="s">
        <v>437</v>
      </c>
      <c r="C661" s="9" t="s">
        <v>438</v>
      </c>
      <c r="D661" s="8">
        <v>38203</v>
      </c>
      <c r="E661" s="10" t="str">
        <f t="shared" si="20"/>
        <v>二段</v>
      </c>
      <c r="F661" s="10" t="str">
        <f t="shared" si="21"/>
        <v>除外</v>
      </c>
      <c r="G661" s="13" t="s">
        <v>1815</v>
      </c>
      <c r="H661" s="14">
        <v>1059512</v>
      </c>
    </row>
    <row r="662" spans="1:8" ht="30" customHeight="1">
      <c r="A662" s="7">
        <v>656</v>
      </c>
      <c r="B662" s="9" t="s">
        <v>439</v>
      </c>
      <c r="C662" s="9" t="s">
        <v>440</v>
      </c>
      <c r="D662" s="8">
        <v>40156</v>
      </c>
      <c r="E662" s="10" t="str">
        <f t="shared" si="20"/>
        <v>二段</v>
      </c>
      <c r="F662" s="10" t="str">
        <f t="shared" si="21"/>
        <v>除外</v>
      </c>
      <c r="G662" s="13" t="s">
        <v>1816</v>
      </c>
      <c r="H662" s="14">
        <v>1057732</v>
      </c>
    </row>
    <row r="663" spans="1:8" ht="30" customHeight="1">
      <c r="A663" s="7">
        <v>657</v>
      </c>
      <c r="B663" s="9" t="s">
        <v>441</v>
      </c>
      <c r="C663" s="9" t="s">
        <v>134</v>
      </c>
      <c r="D663" s="8">
        <v>33947</v>
      </c>
      <c r="E663" s="10" t="str">
        <f t="shared" si="20"/>
        <v>二段</v>
      </c>
      <c r="F663" s="10" t="str">
        <f t="shared" si="21"/>
        <v>除外</v>
      </c>
      <c r="G663" s="13" t="s">
        <v>1817</v>
      </c>
      <c r="H663" s="14">
        <v>1056148</v>
      </c>
    </row>
    <row r="664" spans="1:8" ht="30" customHeight="1">
      <c r="A664" s="7">
        <v>658</v>
      </c>
      <c r="B664" s="9" t="s">
        <v>1818</v>
      </c>
      <c r="C664" s="9" t="s">
        <v>1819</v>
      </c>
      <c r="D664" s="8">
        <v>42606</v>
      </c>
      <c r="E664" s="10" t="str">
        <f t="shared" si="20"/>
        <v>二段</v>
      </c>
      <c r="F664" s="10" t="str">
        <f t="shared" si="21"/>
        <v>採用候補</v>
      </c>
      <c r="G664" s="13" t="s">
        <v>1820</v>
      </c>
      <c r="H664" s="14">
        <v>1054670</v>
      </c>
    </row>
    <row r="665" spans="1:8" ht="30" customHeight="1">
      <c r="A665" s="7">
        <v>659</v>
      </c>
      <c r="B665" s="9" t="s">
        <v>1821</v>
      </c>
      <c r="C665" s="9" t="s">
        <v>1822</v>
      </c>
      <c r="D665" s="8">
        <v>44888</v>
      </c>
      <c r="E665" s="10" t="str">
        <f t="shared" si="20"/>
        <v>二段</v>
      </c>
      <c r="F665" s="10" t="str">
        <f t="shared" si="21"/>
        <v>採用候補</v>
      </c>
      <c r="G665" s="13" t="s">
        <v>1823</v>
      </c>
      <c r="H665" s="14">
        <v>1054587</v>
      </c>
    </row>
    <row r="666" spans="1:8" ht="30" customHeight="1">
      <c r="A666" s="7">
        <v>660</v>
      </c>
      <c r="B666" s="9" t="s">
        <v>1824</v>
      </c>
      <c r="C666" s="9" t="s">
        <v>755</v>
      </c>
      <c r="D666" s="8">
        <v>44783</v>
      </c>
      <c r="E666" s="10" t="str">
        <f t="shared" si="20"/>
        <v>二段</v>
      </c>
      <c r="F666" s="10" t="str">
        <f t="shared" si="21"/>
        <v>採用候補</v>
      </c>
      <c r="G666" s="13" t="s">
        <v>1825</v>
      </c>
      <c r="H666" s="14">
        <v>1054496</v>
      </c>
    </row>
    <row r="667" spans="1:8" ht="30" customHeight="1">
      <c r="A667" s="7">
        <v>661</v>
      </c>
      <c r="B667" s="9" t="s">
        <v>1826</v>
      </c>
      <c r="C667" s="9" t="s">
        <v>708</v>
      </c>
      <c r="D667" s="8">
        <v>43848</v>
      </c>
      <c r="E667" s="10" t="str">
        <f t="shared" si="20"/>
        <v>二段</v>
      </c>
      <c r="F667" s="10" t="str">
        <f t="shared" si="21"/>
        <v>採用候補</v>
      </c>
      <c r="G667" s="13" t="s">
        <v>1827</v>
      </c>
      <c r="H667" s="14">
        <v>1053367</v>
      </c>
    </row>
    <row r="668" spans="1:8" ht="30" customHeight="1">
      <c r="A668" s="7">
        <v>662</v>
      </c>
      <c r="B668" s="9" t="s">
        <v>442</v>
      </c>
      <c r="C668" s="9" t="s">
        <v>443</v>
      </c>
      <c r="D668" s="8">
        <v>35355</v>
      </c>
      <c r="E668" s="10" t="str">
        <f t="shared" si="20"/>
        <v>二段</v>
      </c>
      <c r="F668" s="10" t="str">
        <f t="shared" si="21"/>
        <v>除外</v>
      </c>
      <c r="G668" s="13" t="s">
        <v>1828</v>
      </c>
      <c r="H668" s="14">
        <v>1053098</v>
      </c>
    </row>
    <row r="669" spans="1:8" ht="30" customHeight="1">
      <c r="A669" s="7">
        <v>663</v>
      </c>
      <c r="B669" s="9" t="s">
        <v>1829</v>
      </c>
      <c r="C669" s="9" t="s">
        <v>679</v>
      </c>
      <c r="D669" s="8">
        <v>45775</v>
      </c>
      <c r="E669" s="10" t="str">
        <f t="shared" si="20"/>
        <v>二段</v>
      </c>
      <c r="F669" s="10" t="str">
        <f t="shared" si="21"/>
        <v>採用候補</v>
      </c>
      <c r="G669" s="13" t="s">
        <v>1830</v>
      </c>
      <c r="H669" s="14">
        <v>1051964</v>
      </c>
    </row>
    <row r="670" spans="1:8" ht="30" customHeight="1">
      <c r="A670" s="7">
        <v>664</v>
      </c>
      <c r="B670" s="9" t="s">
        <v>444</v>
      </c>
      <c r="C670" s="9" t="s">
        <v>209</v>
      </c>
      <c r="D670" s="8">
        <v>39967</v>
      </c>
      <c r="E670" s="10" t="str">
        <f t="shared" si="20"/>
        <v>二段</v>
      </c>
      <c r="F670" s="10" t="str">
        <f t="shared" si="21"/>
        <v>除外</v>
      </c>
      <c r="G670" s="13" t="s">
        <v>1831</v>
      </c>
      <c r="H670" s="14">
        <v>1051375</v>
      </c>
    </row>
    <row r="671" spans="1:8" ht="30" customHeight="1">
      <c r="A671" s="7">
        <v>665</v>
      </c>
      <c r="B671" s="9" t="s">
        <v>445</v>
      </c>
      <c r="C671" s="9" t="s">
        <v>65</v>
      </c>
      <c r="D671" s="8">
        <v>25569</v>
      </c>
      <c r="E671" s="10" t="str">
        <f t="shared" si="20"/>
        <v>二段</v>
      </c>
      <c r="F671" s="10" t="str">
        <f t="shared" si="21"/>
        <v>除外</v>
      </c>
      <c r="G671" s="13" t="s">
        <v>1832</v>
      </c>
      <c r="H671" s="14">
        <v>1051282</v>
      </c>
    </row>
    <row r="672" spans="1:8" ht="30" customHeight="1">
      <c r="A672" s="7">
        <v>666</v>
      </c>
      <c r="B672" s="9" t="s">
        <v>446</v>
      </c>
      <c r="C672" s="9" t="s">
        <v>29</v>
      </c>
      <c r="D672" s="8">
        <v>38987</v>
      </c>
      <c r="E672" s="10" t="str">
        <f t="shared" si="20"/>
        <v>二段</v>
      </c>
      <c r="F672" s="10" t="str">
        <f t="shared" si="21"/>
        <v>除外</v>
      </c>
      <c r="G672" s="13" t="s">
        <v>1833</v>
      </c>
      <c r="H672" s="14">
        <v>1049769</v>
      </c>
    </row>
    <row r="673" spans="1:8" ht="30" customHeight="1">
      <c r="A673" s="7">
        <v>667</v>
      </c>
      <c r="B673" s="9" t="s">
        <v>447</v>
      </c>
      <c r="C673" s="9" t="s">
        <v>448</v>
      </c>
      <c r="D673" s="8">
        <v>35135</v>
      </c>
      <c r="E673" s="10" t="str">
        <f t="shared" si="20"/>
        <v>二段</v>
      </c>
      <c r="F673" s="10" t="str">
        <f t="shared" si="21"/>
        <v>除外</v>
      </c>
      <c r="G673" s="13" t="s">
        <v>1834</v>
      </c>
      <c r="H673" s="14">
        <v>1048879</v>
      </c>
    </row>
    <row r="674" spans="1:8" ht="30" customHeight="1">
      <c r="A674" s="7">
        <v>668</v>
      </c>
      <c r="B674" s="9" t="s">
        <v>449</v>
      </c>
      <c r="C674" s="9" t="s">
        <v>47</v>
      </c>
      <c r="D674" s="8">
        <v>38679</v>
      </c>
      <c r="E674" s="10" t="str">
        <f t="shared" si="20"/>
        <v>二段</v>
      </c>
      <c r="F674" s="10" t="str">
        <f t="shared" si="21"/>
        <v>除外</v>
      </c>
      <c r="G674" s="13" t="s">
        <v>1835</v>
      </c>
      <c r="H674" s="14">
        <v>1048253</v>
      </c>
    </row>
    <row r="675" spans="1:8" ht="30" customHeight="1">
      <c r="A675" s="7">
        <v>669</v>
      </c>
      <c r="B675" s="9" t="s">
        <v>1836</v>
      </c>
      <c r="C675" s="9" t="s">
        <v>47</v>
      </c>
      <c r="D675" s="8">
        <v>41619</v>
      </c>
      <c r="E675" s="10" t="str">
        <f t="shared" si="20"/>
        <v>二段</v>
      </c>
      <c r="F675" s="10" t="str">
        <f t="shared" si="21"/>
        <v>採用候補</v>
      </c>
      <c r="G675" s="13" t="s">
        <v>1837</v>
      </c>
      <c r="H675" s="14">
        <v>1048155</v>
      </c>
    </row>
    <row r="676" spans="1:8" ht="30" customHeight="1">
      <c r="A676" s="7">
        <v>670</v>
      </c>
      <c r="B676" s="9" t="s">
        <v>450</v>
      </c>
      <c r="C676" s="9" t="s">
        <v>21</v>
      </c>
      <c r="D676" s="8">
        <v>34468</v>
      </c>
      <c r="E676" s="10" t="str">
        <f t="shared" si="20"/>
        <v>二段</v>
      </c>
      <c r="F676" s="10" t="str">
        <f t="shared" si="21"/>
        <v>除外</v>
      </c>
      <c r="G676" s="13" t="s">
        <v>1838</v>
      </c>
      <c r="H676" s="14">
        <v>1048092</v>
      </c>
    </row>
    <row r="677" spans="1:8" ht="30" customHeight="1">
      <c r="A677" s="7">
        <v>671</v>
      </c>
      <c r="B677" s="9" t="s">
        <v>451</v>
      </c>
      <c r="C677" s="9" t="s">
        <v>45</v>
      </c>
      <c r="D677" s="8">
        <v>39134</v>
      </c>
      <c r="E677" s="10" t="str">
        <f t="shared" si="20"/>
        <v>二段</v>
      </c>
      <c r="F677" s="10" t="str">
        <f t="shared" si="21"/>
        <v>除外</v>
      </c>
      <c r="G677" s="13" t="s">
        <v>1839</v>
      </c>
      <c r="H677" s="14">
        <v>1047784</v>
      </c>
    </row>
    <row r="678" spans="1:8" ht="30" customHeight="1">
      <c r="A678" s="7">
        <v>672</v>
      </c>
      <c r="B678" s="9" t="s">
        <v>452</v>
      </c>
      <c r="C678" s="9" t="s">
        <v>29</v>
      </c>
      <c r="D678" s="8">
        <v>38847</v>
      </c>
      <c r="E678" s="10" t="str">
        <f t="shared" si="20"/>
        <v>二段</v>
      </c>
      <c r="F678" s="10" t="str">
        <f t="shared" si="21"/>
        <v>除外</v>
      </c>
      <c r="G678" s="13" t="s">
        <v>1840</v>
      </c>
      <c r="H678" s="14">
        <v>1047749</v>
      </c>
    </row>
    <row r="679" spans="1:8" ht="30" customHeight="1">
      <c r="A679" s="7">
        <v>673</v>
      </c>
      <c r="B679" s="9" t="s">
        <v>453</v>
      </c>
      <c r="C679" s="9" t="s">
        <v>45</v>
      </c>
      <c r="D679" s="8">
        <v>36838</v>
      </c>
      <c r="E679" s="10" t="str">
        <f t="shared" si="20"/>
        <v>二段</v>
      </c>
      <c r="F679" s="10" t="str">
        <f t="shared" si="21"/>
        <v>除外</v>
      </c>
      <c r="G679" s="13" t="s">
        <v>1841</v>
      </c>
      <c r="H679" s="14">
        <v>1047554</v>
      </c>
    </row>
    <row r="680" spans="1:8" ht="30" customHeight="1">
      <c r="A680" s="7">
        <v>674</v>
      </c>
      <c r="B680" s="9" t="s">
        <v>454</v>
      </c>
      <c r="C680" s="9" t="s">
        <v>19</v>
      </c>
      <c r="D680" s="8">
        <v>33939</v>
      </c>
      <c r="E680" s="10" t="str">
        <f t="shared" si="20"/>
        <v>二段</v>
      </c>
      <c r="F680" s="10" t="str">
        <f t="shared" si="21"/>
        <v>除外</v>
      </c>
      <c r="G680" s="13" t="s">
        <v>1842</v>
      </c>
      <c r="H680" s="14">
        <v>1046943</v>
      </c>
    </row>
    <row r="681" spans="1:8" ht="30" customHeight="1">
      <c r="A681" s="7">
        <v>675</v>
      </c>
      <c r="B681" s="9" t="s">
        <v>1843</v>
      </c>
      <c r="C681" s="9" t="s">
        <v>1844</v>
      </c>
      <c r="D681" s="8">
        <v>42137</v>
      </c>
      <c r="E681" s="10" t="str">
        <f t="shared" si="20"/>
        <v>二段</v>
      </c>
      <c r="F681" s="10" t="str">
        <f t="shared" si="21"/>
        <v>採用候補</v>
      </c>
      <c r="G681" s="13" t="s">
        <v>1845</v>
      </c>
      <c r="H681" s="14">
        <v>1046754</v>
      </c>
    </row>
    <row r="682" spans="1:8" ht="42" customHeight="1">
      <c r="A682" s="7">
        <v>676</v>
      </c>
      <c r="B682" s="9" t="s">
        <v>455</v>
      </c>
      <c r="C682" s="9" t="s">
        <v>456</v>
      </c>
      <c r="D682" s="8">
        <v>33800</v>
      </c>
      <c r="E682" s="10" t="str">
        <f t="shared" si="20"/>
        <v>二段</v>
      </c>
      <c r="F682" s="10" t="str">
        <f t="shared" si="21"/>
        <v>除外</v>
      </c>
      <c r="G682" s="13" t="s">
        <v>1846</v>
      </c>
      <c r="H682" s="14">
        <v>1045613</v>
      </c>
    </row>
    <row r="683" spans="1:8" ht="30" customHeight="1">
      <c r="A683" s="7">
        <v>677</v>
      </c>
      <c r="B683" s="9" t="s">
        <v>1847</v>
      </c>
      <c r="C683" s="9" t="s">
        <v>1848</v>
      </c>
      <c r="D683" s="8">
        <v>42039</v>
      </c>
      <c r="E683" s="10" t="str">
        <f t="shared" si="20"/>
        <v>二段</v>
      </c>
      <c r="F683" s="10" t="str">
        <f t="shared" si="21"/>
        <v>採用候補</v>
      </c>
      <c r="G683" s="13" t="s">
        <v>1849</v>
      </c>
      <c r="H683" s="14">
        <v>1043046</v>
      </c>
    </row>
    <row r="684" spans="1:8" ht="30" customHeight="1">
      <c r="A684" s="7">
        <v>678</v>
      </c>
      <c r="B684" s="9" t="s">
        <v>1850</v>
      </c>
      <c r="C684" s="9" t="s">
        <v>1851</v>
      </c>
      <c r="D684" s="8">
        <v>43621</v>
      </c>
      <c r="E684" s="10" t="str">
        <f t="shared" si="20"/>
        <v>二段</v>
      </c>
      <c r="F684" s="10" t="str">
        <f t="shared" si="21"/>
        <v>採用候補</v>
      </c>
      <c r="G684" s="13" t="s">
        <v>1852</v>
      </c>
      <c r="H684" s="14">
        <v>1042401</v>
      </c>
    </row>
    <row r="685" spans="1:8" ht="30" customHeight="1">
      <c r="A685" s="7">
        <v>679</v>
      </c>
      <c r="B685" s="9" t="s">
        <v>457</v>
      </c>
      <c r="C685" s="9" t="s">
        <v>458</v>
      </c>
      <c r="D685" s="8">
        <v>33684</v>
      </c>
      <c r="E685" s="10" t="str">
        <f t="shared" si="20"/>
        <v>二段</v>
      </c>
      <c r="F685" s="10" t="str">
        <f t="shared" si="21"/>
        <v>除外</v>
      </c>
      <c r="G685" s="13" t="s">
        <v>1853</v>
      </c>
      <c r="H685" s="14">
        <v>1041592</v>
      </c>
    </row>
    <row r="686" spans="1:8" ht="30" customHeight="1">
      <c r="A686" s="7">
        <v>680</v>
      </c>
      <c r="B686" s="9" t="s">
        <v>1854</v>
      </c>
      <c r="C686" s="9" t="s">
        <v>698</v>
      </c>
      <c r="D686" s="8">
        <v>42921</v>
      </c>
      <c r="E686" s="10" t="str">
        <f t="shared" si="20"/>
        <v>二段</v>
      </c>
      <c r="F686" s="10" t="str">
        <f t="shared" si="21"/>
        <v>採用候補</v>
      </c>
      <c r="G686" s="13" t="s">
        <v>1855</v>
      </c>
      <c r="H686" s="14">
        <v>1040650</v>
      </c>
    </row>
    <row r="687" spans="1:8" ht="30" customHeight="1">
      <c r="A687" s="7">
        <v>681</v>
      </c>
      <c r="B687" s="9" t="s">
        <v>1856</v>
      </c>
      <c r="C687" s="9" t="s">
        <v>1563</v>
      </c>
      <c r="D687" s="8">
        <v>42144</v>
      </c>
      <c r="E687" s="10" t="str">
        <f t="shared" si="20"/>
        <v>二段</v>
      </c>
      <c r="F687" s="10" t="str">
        <f t="shared" si="21"/>
        <v>採用候補</v>
      </c>
      <c r="G687" s="13" t="s">
        <v>1857</v>
      </c>
      <c r="H687" s="14">
        <v>1040339</v>
      </c>
    </row>
    <row r="688" spans="1:8" ht="30" customHeight="1">
      <c r="A688" s="7">
        <v>682</v>
      </c>
      <c r="B688" s="9" t="s">
        <v>459</v>
      </c>
      <c r="C688" s="9" t="s">
        <v>153</v>
      </c>
      <c r="D688" s="8">
        <v>36047</v>
      </c>
      <c r="E688" s="10" t="str">
        <f t="shared" si="20"/>
        <v>二段</v>
      </c>
      <c r="F688" s="10" t="str">
        <f t="shared" si="21"/>
        <v>除外</v>
      </c>
      <c r="G688" s="13" t="s">
        <v>1858</v>
      </c>
      <c r="H688" s="14">
        <v>1040238</v>
      </c>
    </row>
    <row r="689" spans="1:8" ht="30" customHeight="1">
      <c r="A689" s="7">
        <v>683</v>
      </c>
      <c r="B689" s="9" t="s">
        <v>460</v>
      </c>
      <c r="C689" s="9" t="s">
        <v>461</v>
      </c>
      <c r="D689" s="8">
        <v>35114</v>
      </c>
      <c r="E689" s="10" t="str">
        <f t="shared" si="20"/>
        <v>二段</v>
      </c>
      <c r="F689" s="10" t="str">
        <f t="shared" si="21"/>
        <v>除外</v>
      </c>
      <c r="G689" s="13" t="s">
        <v>1859</v>
      </c>
      <c r="H689" s="14">
        <v>1039080</v>
      </c>
    </row>
    <row r="690" spans="1:8" ht="30" customHeight="1">
      <c r="A690" s="7">
        <v>684</v>
      </c>
      <c r="B690" s="9" t="s">
        <v>462</v>
      </c>
      <c r="C690" s="9" t="s">
        <v>83</v>
      </c>
      <c r="D690" s="8">
        <v>39526</v>
      </c>
      <c r="E690" s="10" t="str">
        <f t="shared" si="20"/>
        <v>二段</v>
      </c>
      <c r="F690" s="10" t="str">
        <f t="shared" si="21"/>
        <v>除外</v>
      </c>
      <c r="G690" s="13" t="s">
        <v>1860</v>
      </c>
      <c r="H690" s="14">
        <v>1037518</v>
      </c>
    </row>
    <row r="691" spans="1:8" ht="30" customHeight="1">
      <c r="A691" s="7">
        <v>685</v>
      </c>
      <c r="B691" s="9" t="s">
        <v>1861</v>
      </c>
      <c r="C691" s="9" t="s">
        <v>465</v>
      </c>
      <c r="D691" s="8">
        <v>41423</v>
      </c>
      <c r="E691" s="10" t="str">
        <f t="shared" si="20"/>
        <v>二段</v>
      </c>
      <c r="F691" s="10" t="str">
        <f t="shared" si="21"/>
        <v>採用候補</v>
      </c>
      <c r="G691" s="13" t="s">
        <v>1862</v>
      </c>
      <c r="H691" s="14">
        <v>1036893</v>
      </c>
    </row>
    <row r="692" spans="1:8" ht="30" customHeight="1">
      <c r="A692" s="7">
        <v>686</v>
      </c>
      <c r="B692" s="9" t="s">
        <v>463</v>
      </c>
      <c r="C692" s="9" t="s">
        <v>322</v>
      </c>
      <c r="D692" s="8">
        <v>39771</v>
      </c>
      <c r="E692" s="10" t="str">
        <f t="shared" si="20"/>
        <v>二段</v>
      </c>
      <c r="F692" s="10" t="str">
        <f t="shared" si="21"/>
        <v>除外</v>
      </c>
      <c r="G692" s="13" t="s">
        <v>1863</v>
      </c>
      <c r="H692" s="14">
        <v>1036872</v>
      </c>
    </row>
    <row r="693" spans="1:8" ht="30" customHeight="1">
      <c r="A693" s="7">
        <v>687</v>
      </c>
      <c r="B693" s="9" t="s">
        <v>1864</v>
      </c>
      <c r="C693" s="9" t="s">
        <v>758</v>
      </c>
      <c r="D693" s="8">
        <v>41850</v>
      </c>
      <c r="E693" s="10" t="str">
        <f t="shared" si="20"/>
        <v>二段</v>
      </c>
      <c r="F693" s="10" t="str">
        <f t="shared" si="21"/>
        <v>採用候補</v>
      </c>
      <c r="G693" s="13" t="s">
        <v>1865</v>
      </c>
      <c r="H693" s="14">
        <v>1036199</v>
      </c>
    </row>
    <row r="694" spans="1:8" ht="42" customHeight="1">
      <c r="A694" s="7">
        <v>688</v>
      </c>
      <c r="B694" s="9" t="s">
        <v>1866</v>
      </c>
      <c r="C694" s="9" t="s">
        <v>806</v>
      </c>
      <c r="D694" s="8">
        <v>42032</v>
      </c>
      <c r="E694" s="10" t="str">
        <f t="shared" si="20"/>
        <v>二段</v>
      </c>
      <c r="F694" s="10" t="str">
        <f t="shared" si="21"/>
        <v>採用候補</v>
      </c>
      <c r="G694" s="13" t="s">
        <v>1867</v>
      </c>
      <c r="H694" s="14">
        <v>1035268</v>
      </c>
    </row>
    <row r="695" spans="1:8" ht="30" customHeight="1">
      <c r="A695" s="7">
        <v>689</v>
      </c>
      <c r="B695" s="9" t="s">
        <v>464</v>
      </c>
      <c r="C695" s="9" t="s">
        <v>465</v>
      </c>
      <c r="D695" s="8">
        <v>39239</v>
      </c>
      <c r="E695" s="10" t="str">
        <f t="shared" si="20"/>
        <v>二段</v>
      </c>
      <c r="F695" s="10" t="str">
        <f t="shared" si="21"/>
        <v>除外</v>
      </c>
      <c r="G695" s="13" t="s">
        <v>1868</v>
      </c>
      <c r="H695" s="14">
        <v>1034379</v>
      </c>
    </row>
    <row r="696" spans="1:8" ht="42" customHeight="1">
      <c r="A696" s="7">
        <v>690</v>
      </c>
      <c r="B696" s="9" t="s">
        <v>466</v>
      </c>
      <c r="C696" s="9" t="s">
        <v>456</v>
      </c>
      <c r="D696" s="8">
        <v>33800</v>
      </c>
      <c r="E696" s="10" t="str">
        <f t="shared" si="20"/>
        <v>二段</v>
      </c>
      <c r="F696" s="10" t="str">
        <f t="shared" si="21"/>
        <v>除外</v>
      </c>
      <c r="G696" s="13" t="s">
        <v>1869</v>
      </c>
      <c r="H696" s="14">
        <v>1033151</v>
      </c>
    </row>
    <row r="697" spans="1:8" ht="30" customHeight="1">
      <c r="A697" s="7">
        <v>691</v>
      </c>
      <c r="B697" s="9" t="s">
        <v>1870</v>
      </c>
      <c r="C697" s="9" t="s">
        <v>83</v>
      </c>
      <c r="D697" s="8">
        <v>44265</v>
      </c>
      <c r="E697" s="10" t="str">
        <f t="shared" si="20"/>
        <v>二段</v>
      </c>
      <c r="F697" s="10" t="str">
        <f t="shared" si="21"/>
        <v>採用候補</v>
      </c>
      <c r="G697" s="13" t="s">
        <v>1871</v>
      </c>
      <c r="H697" s="14">
        <v>1032918</v>
      </c>
    </row>
    <row r="698" spans="1:8" ht="30" customHeight="1">
      <c r="A698" s="7">
        <v>692</v>
      </c>
      <c r="B698" s="9" t="s">
        <v>467</v>
      </c>
      <c r="C698" s="9" t="s">
        <v>468</v>
      </c>
      <c r="D698" s="8">
        <v>38903</v>
      </c>
      <c r="E698" s="10" t="str">
        <f t="shared" si="20"/>
        <v>二段</v>
      </c>
      <c r="F698" s="10" t="str">
        <f t="shared" si="21"/>
        <v>除外</v>
      </c>
      <c r="G698" s="13" t="s">
        <v>1872</v>
      </c>
      <c r="H698" s="14">
        <v>1032814</v>
      </c>
    </row>
    <row r="699" spans="1:8" ht="30" customHeight="1">
      <c r="A699" s="7">
        <v>693</v>
      </c>
      <c r="B699" s="9" t="s">
        <v>1873</v>
      </c>
      <c r="C699" s="9" t="s">
        <v>1025</v>
      </c>
      <c r="D699" s="8">
        <v>42914</v>
      </c>
      <c r="E699" s="10" t="str">
        <f t="shared" si="20"/>
        <v>二段</v>
      </c>
      <c r="F699" s="10" t="str">
        <f t="shared" si="21"/>
        <v>採用候補</v>
      </c>
      <c r="G699" s="13" t="s">
        <v>1874</v>
      </c>
      <c r="H699" s="14">
        <v>1031616</v>
      </c>
    </row>
    <row r="700" spans="1:8" ht="30" customHeight="1">
      <c r="A700" s="7">
        <v>694</v>
      </c>
      <c r="B700" s="9" t="s">
        <v>1875</v>
      </c>
      <c r="C700" s="9" t="s">
        <v>714</v>
      </c>
      <c r="D700" s="8">
        <v>43845</v>
      </c>
      <c r="E700" s="10" t="str">
        <f t="shared" si="20"/>
        <v>二段</v>
      </c>
      <c r="F700" s="10" t="str">
        <f t="shared" si="21"/>
        <v>採用候補</v>
      </c>
      <c r="G700" s="13" t="s">
        <v>1876</v>
      </c>
      <c r="H700" s="14">
        <v>1031362</v>
      </c>
    </row>
    <row r="701" spans="1:8" ht="30" customHeight="1">
      <c r="A701" s="7">
        <v>695</v>
      </c>
      <c r="B701" s="9" t="s">
        <v>1877</v>
      </c>
      <c r="C701" s="9" t="s">
        <v>1878</v>
      </c>
      <c r="D701" s="8">
        <v>42032</v>
      </c>
      <c r="E701" s="10" t="str">
        <f t="shared" si="20"/>
        <v>二段</v>
      </c>
      <c r="F701" s="10" t="str">
        <f t="shared" si="21"/>
        <v>採用候補</v>
      </c>
      <c r="G701" s="13" t="s">
        <v>1879</v>
      </c>
      <c r="H701" s="14">
        <v>1030735</v>
      </c>
    </row>
    <row r="702" spans="1:8" ht="30" customHeight="1">
      <c r="A702" s="7">
        <v>696</v>
      </c>
      <c r="B702" s="9" t="s">
        <v>469</v>
      </c>
      <c r="C702" s="9" t="s">
        <v>47</v>
      </c>
      <c r="D702" s="8">
        <v>38419</v>
      </c>
      <c r="E702" s="10" t="str">
        <f t="shared" si="20"/>
        <v>二段</v>
      </c>
      <c r="F702" s="10" t="str">
        <f t="shared" si="21"/>
        <v>除外</v>
      </c>
      <c r="G702" s="13" t="s">
        <v>1880</v>
      </c>
      <c r="H702" s="14">
        <v>1028422</v>
      </c>
    </row>
    <row r="703" spans="1:8" ht="42" customHeight="1">
      <c r="A703" s="7">
        <v>697</v>
      </c>
      <c r="B703" s="9" t="s">
        <v>1881</v>
      </c>
      <c r="C703" s="9" t="s">
        <v>67</v>
      </c>
      <c r="D703" s="8">
        <v>43418</v>
      </c>
      <c r="E703" s="10" t="str">
        <f t="shared" si="20"/>
        <v>二段</v>
      </c>
      <c r="F703" s="10" t="str">
        <f t="shared" si="21"/>
        <v>採用候補</v>
      </c>
      <c r="G703" s="13" t="s">
        <v>1882</v>
      </c>
      <c r="H703" s="14">
        <v>1027982</v>
      </c>
    </row>
    <row r="704" spans="1:8" ht="30" customHeight="1">
      <c r="A704" s="7">
        <v>698</v>
      </c>
      <c r="B704" s="9" t="s">
        <v>1883</v>
      </c>
      <c r="C704" s="9" t="s">
        <v>1884</v>
      </c>
      <c r="D704" s="8">
        <v>43684</v>
      </c>
      <c r="E704" s="10" t="str">
        <f t="shared" si="20"/>
        <v>二段</v>
      </c>
      <c r="F704" s="10" t="str">
        <f t="shared" si="21"/>
        <v>採用候補</v>
      </c>
      <c r="G704" s="13" t="s">
        <v>1885</v>
      </c>
      <c r="H704" s="14">
        <v>1026096</v>
      </c>
    </row>
    <row r="705" spans="1:8" ht="30" customHeight="1">
      <c r="A705" s="7">
        <v>699</v>
      </c>
      <c r="B705" s="9" t="s">
        <v>470</v>
      </c>
      <c r="C705" s="9" t="s">
        <v>220</v>
      </c>
      <c r="D705" s="8">
        <v>37665</v>
      </c>
      <c r="E705" s="10" t="str">
        <f t="shared" si="20"/>
        <v>二段</v>
      </c>
      <c r="F705" s="10" t="str">
        <f t="shared" si="21"/>
        <v>除外</v>
      </c>
      <c r="G705" s="13" t="s">
        <v>1886</v>
      </c>
      <c r="H705" s="14">
        <v>1024150</v>
      </c>
    </row>
    <row r="706" spans="1:8" ht="30" customHeight="1">
      <c r="A706" s="7">
        <v>700</v>
      </c>
      <c r="B706" s="9" t="s">
        <v>1887</v>
      </c>
      <c r="C706" s="9" t="s">
        <v>1641</v>
      </c>
      <c r="D706" s="8">
        <v>42312</v>
      </c>
      <c r="E706" s="10" t="str">
        <f t="shared" si="20"/>
        <v>二段</v>
      </c>
      <c r="F706" s="10" t="str">
        <f t="shared" si="21"/>
        <v>採用候補</v>
      </c>
      <c r="G706" s="13" t="s">
        <v>1888</v>
      </c>
      <c r="H706" s="14">
        <v>1023768</v>
      </c>
    </row>
    <row r="707" spans="1:8" ht="30" customHeight="1">
      <c r="A707" s="7">
        <v>701</v>
      </c>
      <c r="B707" s="9" t="s">
        <v>1889</v>
      </c>
      <c r="C707" s="9" t="s">
        <v>698</v>
      </c>
      <c r="D707" s="8">
        <v>43159</v>
      </c>
      <c r="E707" s="10" t="str">
        <f t="shared" si="20"/>
        <v>三段</v>
      </c>
      <c r="F707" s="10" t="str">
        <f t="shared" si="21"/>
        <v>採用候補</v>
      </c>
      <c r="G707" s="13" t="s">
        <v>1890</v>
      </c>
      <c r="H707" s="14">
        <v>1023602</v>
      </c>
    </row>
    <row r="708" spans="1:8" ht="30" customHeight="1">
      <c r="A708" s="7">
        <v>702</v>
      </c>
      <c r="B708" s="9" t="s">
        <v>1891</v>
      </c>
      <c r="C708" s="9" t="s">
        <v>77</v>
      </c>
      <c r="D708" s="8">
        <v>40296</v>
      </c>
      <c r="E708" s="10" t="str">
        <f t="shared" si="20"/>
        <v>三段</v>
      </c>
      <c r="F708" s="10" t="str">
        <f t="shared" si="21"/>
        <v>採用候補</v>
      </c>
      <c r="G708" s="13" t="s">
        <v>1892</v>
      </c>
      <c r="H708" s="14">
        <v>1022981</v>
      </c>
    </row>
    <row r="709" spans="1:8" ht="30" customHeight="1">
      <c r="A709" s="7">
        <v>703</v>
      </c>
      <c r="B709" s="9" t="s">
        <v>471</v>
      </c>
      <c r="C709" s="9" t="s">
        <v>472</v>
      </c>
      <c r="D709" s="8">
        <v>39400</v>
      </c>
      <c r="E709" s="10" t="str">
        <f t="shared" si="20"/>
        <v>三段</v>
      </c>
      <c r="F709" s="10" t="str">
        <f t="shared" si="21"/>
        <v>除外</v>
      </c>
      <c r="G709" s="13" t="s">
        <v>1893</v>
      </c>
      <c r="H709" s="14">
        <v>1022943</v>
      </c>
    </row>
    <row r="710" spans="1:8" ht="30" customHeight="1">
      <c r="A710" s="7">
        <v>704</v>
      </c>
      <c r="B710" s="9" t="s">
        <v>1894</v>
      </c>
      <c r="C710" s="9" t="s">
        <v>1119</v>
      </c>
      <c r="D710" s="8">
        <v>45854</v>
      </c>
      <c r="E710" s="10" t="str">
        <f t="shared" si="20"/>
        <v>三段</v>
      </c>
      <c r="F710" s="10" t="str">
        <f t="shared" si="21"/>
        <v>採用候補</v>
      </c>
      <c r="G710" s="13" t="s">
        <v>1895</v>
      </c>
      <c r="H710" s="14">
        <v>1022845</v>
      </c>
    </row>
    <row r="711" spans="1:8" ht="30" customHeight="1">
      <c r="A711" s="7">
        <v>705</v>
      </c>
      <c r="B711" s="9" t="s">
        <v>473</v>
      </c>
      <c r="C711" s="9" t="s">
        <v>33</v>
      </c>
      <c r="D711" s="8">
        <v>40079</v>
      </c>
      <c r="E711" s="10" t="str">
        <f t="shared" ref="E711:E774" si="22">CHOOSE(INT((A711-1)/100)+1,"5級","4級","3級","2級","1級","初段","二段","三段","四段","五段")</f>
        <v>三段</v>
      </c>
      <c r="F711" s="10" t="str">
        <f t="shared" ref="F711:F774" si="23">IF(D711&gt;=DATE(2010,1,1),"採用候補","除外")</f>
        <v>除外</v>
      </c>
      <c r="G711" s="13" t="s">
        <v>1896</v>
      </c>
      <c r="H711" s="14">
        <v>1022699</v>
      </c>
    </row>
    <row r="712" spans="1:8" ht="30" customHeight="1">
      <c r="A712" s="7">
        <v>706</v>
      </c>
      <c r="B712" s="9" t="s">
        <v>1897</v>
      </c>
      <c r="C712" s="9" t="s">
        <v>1089</v>
      </c>
      <c r="D712" s="8">
        <v>40569</v>
      </c>
      <c r="E712" s="10" t="str">
        <f t="shared" si="22"/>
        <v>三段</v>
      </c>
      <c r="F712" s="10" t="str">
        <f t="shared" si="23"/>
        <v>採用候補</v>
      </c>
      <c r="G712" s="13" t="s">
        <v>1898</v>
      </c>
      <c r="H712" s="14">
        <v>1021344</v>
      </c>
    </row>
    <row r="713" spans="1:8" ht="30" customHeight="1">
      <c r="A713" s="7">
        <v>707</v>
      </c>
      <c r="B713" s="9" t="s">
        <v>1899</v>
      </c>
      <c r="C713" s="9" t="s">
        <v>40</v>
      </c>
      <c r="D713" s="8">
        <v>41395</v>
      </c>
      <c r="E713" s="10" t="str">
        <f t="shared" si="22"/>
        <v>三段</v>
      </c>
      <c r="F713" s="10" t="str">
        <f t="shared" si="23"/>
        <v>採用候補</v>
      </c>
      <c r="G713" s="13" t="s">
        <v>1900</v>
      </c>
      <c r="H713" s="14">
        <v>1020741</v>
      </c>
    </row>
    <row r="714" spans="1:8" ht="30" customHeight="1">
      <c r="A714" s="7">
        <v>708</v>
      </c>
      <c r="B714" s="9" t="s">
        <v>1901</v>
      </c>
      <c r="C714" s="9" t="s">
        <v>775</v>
      </c>
      <c r="D714" s="8">
        <v>40422</v>
      </c>
      <c r="E714" s="10" t="str">
        <f t="shared" si="22"/>
        <v>三段</v>
      </c>
      <c r="F714" s="10" t="str">
        <f t="shared" si="23"/>
        <v>採用候補</v>
      </c>
      <c r="G714" s="13" t="s">
        <v>1902</v>
      </c>
      <c r="H714" s="14">
        <v>1020309</v>
      </c>
    </row>
    <row r="715" spans="1:8" ht="30" customHeight="1">
      <c r="A715" s="7">
        <v>709</v>
      </c>
      <c r="B715" s="9" t="s">
        <v>1903</v>
      </c>
      <c r="C715" s="9" t="s">
        <v>47</v>
      </c>
      <c r="D715" s="8">
        <v>43446</v>
      </c>
      <c r="E715" s="10" t="str">
        <f t="shared" si="22"/>
        <v>三段</v>
      </c>
      <c r="F715" s="10" t="str">
        <f t="shared" si="23"/>
        <v>採用候補</v>
      </c>
      <c r="G715" s="13" t="s">
        <v>1904</v>
      </c>
      <c r="H715" s="14">
        <v>1020040</v>
      </c>
    </row>
    <row r="716" spans="1:8" ht="30" customHeight="1">
      <c r="A716" s="7">
        <v>710</v>
      </c>
      <c r="B716" s="9" t="s">
        <v>1905</v>
      </c>
      <c r="C716" s="9" t="s">
        <v>772</v>
      </c>
      <c r="D716" s="8">
        <v>44321</v>
      </c>
      <c r="E716" s="10" t="str">
        <f t="shared" si="22"/>
        <v>三段</v>
      </c>
      <c r="F716" s="10" t="str">
        <f t="shared" si="23"/>
        <v>採用候補</v>
      </c>
      <c r="G716" s="13" t="s">
        <v>1906</v>
      </c>
      <c r="H716" s="14">
        <v>1019228</v>
      </c>
    </row>
    <row r="717" spans="1:8" ht="30" customHeight="1">
      <c r="A717" s="7">
        <v>711</v>
      </c>
      <c r="B717" s="9" t="s">
        <v>1907</v>
      </c>
      <c r="C717" s="9" t="s">
        <v>1478</v>
      </c>
      <c r="D717" s="8">
        <v>43852</v>
      </c>
      <c r="E717" s="10" t="str">
        <f t="shared" si="22"/>
        <v>三段</v>
      </c>
      <c r="F717" s="10" t="str">
        <f t="shared" si="23"/>
        <v>採用候補</v>
      </c>
      <c r="G717" s="13" t="s">
        <v>1908</v>
      </c>
      <c r="H717" s="14">
        <v>1019198</v>
      </c>
    </row>
    <row r="718" spans="1:8" ht="30" customHeight="1">
      <c r="A718" s="7">
        <v>712</v>
      </c>
      <c r="B718" s="9" t="s">
        <v>474</v>
      </c>
      <c r="C718" s="9" t="s">
        <v>475</v>
      </c>
      <c r="D718" s="8">
        <v>33039</v>
      </c>
      <c r="E718" s="10" t="str">
        <f t="shared" si="22"/>
        <v>三段</v>
      </c>
      <c r="F718" s="10" t="str">
        <f t="shared" si="23"/>
        <v>除外</v>
      </c>
      <c r="G718" s="13" t="s">
        <v>1909</v>
      </c>
      <c r="H718" s="14">
        <v>1018122</v>
      </c>
    </row>
    <row r="719" spans="1:8" ht="30" customHeight="1">
      <c r="A719" s="7">
        <v>713</v>
      </c>
      <c r="B719" s="9" t="s">
        <v>1910</v>
      </c>
      <c r="C719" s="9" t="s">
        <v>384</v>
      </c>
      <c r="D719" s="8">
        <v>43257</v>
      </c>
      <c r="E719" s="10" t="str">
        <f t="shared" si="22"/>
        <v>三段</v>
      </c>
      <c r="F719" s="10" t="str">
        <f t="shared" si="23"/>
        <v>採用候補</v>
      </c>
      <c r="G719" s="13" t="s">
        <v>1911</v>
      </c>
      <c r="H719" s="14">
        <v>1017981</v>
      </c>
    </row>
    <row r="720" spans="1:8" ht="30" customHeight="1">
      <c r="A720" s="7">
        <v>714</v>
      </c>
      <c r="B720" s="9" t="s">
        <v>476</v>
      </c>
      <c r="C720" s="9" t="s">
        <v>233</v>
      </c>
      <c r="D720" s="8">
        <v>36642</v>
      </c>
      <c r="E720" s="10" t="str">
        <f t="shared" si="22"/>
        <v>三段</v>
      </c>
      <c r="F720" s="10" t="str">
        <f t="shared" si="23"/>
        <v>除外</v>
      </c>
      <c r="G720" s="13" t="s">
        <v>1912</v>
      </c>
      <c r="H720" s="14">
        <v>1017831</v>
      </c>
    </row>
    <row r="721" spans="1:8" ht="30" customHeight="1">
      <c r="A721" s="7">
        <v>715</v>
      </c>
      <c r="B721" s="9" t="s">
        <v>477</v>
      </c>
      <c r="C721" s="9" t="s">
        <v>478</v>
      </c>
      <c r="D721" s="8">
        <v>33086</v>
      </c>
      <c r="E721" s="10" t="str">
        <f t="shared" si="22"/>
        <v>三段</v>
      </c>
      <c r="F721" s="10" t="str">
        <f t="shared" si="23"/>
        <v>除外</v>
      </c>
      <c r="G721" s="13" t="s">
        <v>1913</v>
      </c>
      <c r="H721" s="14">
        <v>1017742</v>
      </c>
    </row>
    <row r="722" spans="1:8" ht="30" customHeight="1">
      <c r="A722" s="7">
        <v>716</v>
      </c>
      <c r="B722" s="9" t="s">
        <v>1914</v>
      </c>
      <c r="C722" s="9" t="s">
        <v>679</v>
      </c>
      <c r="D722" s="8">
        <v>40331</v>
      </c>
      <c r="E722" s="10" t="str">
        <f t="shared" si="22"/>
        <v>三段</v>
      </c>
      <c r="F722" s="10" t="str">
        <f t="shared" si="23"/>
        <v>採用候補</v>
      </c>
      <c r="G722" s="13" t="s">
        <v>1915</v>
      </c>
      <c r="H722" s="14">
        <v>1017517</v>
      </c>
    </row>
    <row r="723" spans="1:8" ht="30" customHeight="1">
      <c r="A723" s="7">
        <v>717</v>
      </c>
      <c r="B723" s="9" t="s">
        <v>479</v>
      </c>
      <c r="C723" s="9" t="s">
        <v>480</v>
      </c>
      <c r="D723" s="8">
        <v>32752</v>
      </c>
      <c r="E723" s="10" t="str">
        <f t="shared" si="22"/>
        <v>三段</v>
      </c>
      <c r="F723" s="10" t="str">
        <f t="shared" si="23"/>
        <v>除外</v>
      </c>
      <c r="G723" s="13" t="s">
        <v>1916</v>
      </c>
      <c r="H723" s="14">
        <v>1016748</v>
      </c>
    </row>
    <row r="724" spans="1:8" ht="42" customHeight="1">
      <c r="A724" s="7">
        <v>718</v>
      </c>
      <c r="B724" s="9" t="s">
        <v>481</v>
      </c>
      <c r="C724" s="9" t="s">
        <v>310</v>
      </c>
      <c r="D724" s="8">
        <v>40135</v>
      </c>
      <c r="E724" s="10" t="str">
        <f t="shared" si="22"/>
        <v>三段</v>
      </c>
      <c r="F724" s="10" t="str">
        <f t="shared" si="23"/>
        <v>除外</v>
      </c>
      <c r="G724" s="13" t="s">
        <v>1917</v>
      </c>
      <c r="H724" s="14">
        <v>1016627</v>
      </c>
    </row>
    <row r="725" spans="1:8" ht="30" customHeight="1">
      <c r="A725" s="7">
        <v>719</v>
      </c>
      <c r="B725" s="9" t="s">
        <v>482</v>
      </c>
      <c r="C725" s="9" t="s">
        <v>406</v>
      </c>
      <c r="D725" s="8">
        <v>33443</v>
      </c>
      <c r="E725" s="10" t="str">
        <f t="shared" si="22"/>
        <v>三段</v>
      </c>
      <c r="F725" s="10" t="str">
        <f t="shared" si="23"/>
        <v>除外</v>
      </c>
      <c r="G725" s="13" t="s">
        <v>1918</v>
      </c>
      <c r="H725" s="14">
        <v>1016550</v>
      </c>
    </row>
    <row r="726" spans="1:8" ht="30" customHeight="1">
      <c r="A726" s="7">
        <v>720</v>
      </c>
      <c r="B726" s="9" t="s">
        <v>483</v>
      </c>
      <c r="C726" s="9" t="s">
        <v>484</v>
      </c>
      <c r="D726" s="8">
        <v>36432</v>
      </c>
      <c r="E726" s="10" t="str">
        <f t="shared" si="22"/>
        <v>三段</v>
      </c>
      <c r="F726" s="10" t="str">
        <f t="shared" si="23"/>
        <v>除外</v>
      </c>
      <c r="G726" s="13" t="s">
        <v>1919</v>
      </c>
      <c r="H726" s="14">
        <v>1016378</v>
      </c>
    </row>
    <row r="727" spans="1:8" ht="30" customHeight="1">
      <c r="A727" s="7">
        <v>721</v>
      </c>
      <c r="B727" s="9" t="s">
        <v>410</v>
      </c>
      <c r="C727" s="9" t="s">
        <v>485</v>
      </c>
      <c r="D727" s="8">
        <v>39722</v>
      </c>
      <c r="E727" s="10" t="str">
        <f t="shared" si="22"/>
        <v>三段</v>
      </c>
      <c r="F727" s="10" t="str">
        <f t="shared" si="23"/>
        <v>除外</v>
      </c>
      <c r="G727" s="13" t="s">
        <v>1920</v>
      </c>
      <c r="H727" s="14">
        <v>1016262</v>
      </c>
    </row>
    <row r="728" spans="1:8" ht="30" customHeight="1">
      <c r="A728" s="7">
        <v>722</v>
      </c>
      <c r="B728" s="9" t="s">
        <v>1921</v>
      </c>
      <c r="C728" s="9" t="s">
        <v>1600</v>
      </c>
      <c r="D728" s="8">
        <v>41381</v>
      </c>
      <c r="E728" s="10" t="str">
        <f t="shared" si="22"/>
        <v>三段</v>
      </c>
      <c r="F728" s="10" t="str">
        <f t="shared" si="23"/>
        <v>採用候補</v>
      </c>
      <c r="G728" s="13" t="s">
        <v>1922</v>
      </c>
      <c r="H728" s="14">
        <v>1016044</v>
      </c>
    </row>
    <row r="729" spans="1:8" ht="30" customHeight="1">
      <c r="A729" s="7">
        <v>723</v>
      </c>
      <c r="B729" s="9" t="s">
        <v>486</v>
      </c>
      <c r="C729" s="9" t="s">
        <v>487</v>
      </c>
      <c r="D729" s="8">
        <v>37951</v>
      </c>
      <c r="E729" s="10" t="str">
        <f t="shared" si="22"/>
        <v>三段</v>
      </c>
      <c r="F729" s="10" t="str">
        <f t="shared" si="23"/>
        <v>除外</v>
      </c>
      <c r="G729" s="13" t="s">
        <v>1923</v>
      </c>
      <c r="H729" s="14">
        <v>1015246</v>
      </c>
    </row>
    <row r="730" spans="1:8" ht="30" customHeight="1">
      <c r="A730" s="7">
        <v>724</v>
      </c>
      <c r="B730" s="9" t="s">
        <v>488</v>
      </c>
      <c r="C730" s="9" t="s">
        <v>443</v>
      </c>
      <c r="D730" s="8">
        <v>36342</v>
      </c>
      <c r="E730" s="10" t="str">
        <f t="shared" si="22"/>
        <v>三段</v>
      </c>
      <c r="F730" s="10" t="str">
        <f t="shared" si="23"/>
        <v>除外</v>
      </c>
      <c r="G730" s="13" t="s">
        <v>1924</v>
      </c>
      <c r="H730" s="14">
        <v>1014724</v>
      </c>
    </row>
    <row r="731" spans="1:8" ht="30" customHeight="1">
      <c r="A731" s="7">
        <v>725</v>
      </c>
      <c r="B731" s="9" t="s">
        <v>1925</v>
      </c>
      <c r="C731" s="9" t="s">
        <v>679</v>
      </c>
      <c r="D731" s="8">
        <v>40716</v>
      </c>
      <c r="E731" s="10" t="str">
        <f t="shared" si="22"/>
        <v>三段</v>
      </c>
      <c r="F731" s="10" t="str">
        <f t="shared" si="23"/>
        <v>採用候補</v>
      </c>
      <c r="G731" s="13" t="s">
        <v>1926</v>
      </c>
      <c r="H731" s="14">
        <v>1014374</v>
      </c>
    </row>
    <row r="732" spans="1:8" ht="30" customHeight="1">
      <c r="A732" s="7">
        <v>726</v>
      </c>
      <c r="B732" s="9" t="s">
        <v>1927</v>
      </c>
      <c r="C732" s="9" t="s">
        <v>1377</v>
      </c>
      <c r="D732" s="8">
        <v>44083</v>
      </c>
      <c r="E732" s="10" t="str">
        <f t="shared" si="22"/>
        <v>三段</v>
      </c>
      <c r="F732" s="10" t="str">
        <f t="shared" si="23"/>
        <v>採用候補</v>
      </c>
      <c r="G732" s="13" t="s">
        <v>1928</v>
      </c>
      <c r="H732" s="14">
        <v>1014011</v>
      </c>
    </row>
    <row r="733" spans="1:8" ht="30" customHeight="1">
      <c r="A733" s="7">
        <v>727</v>
      </c>
      <c r="B733" s="9" t="s">
        <v>489</v>
      </c>
      <c r="C733" s="9" t="s">
        <v>490</v>
      </c>
      <c r="D733" s="8">
        <v>33117</v>
      </c>
      <c r="E733" s="10" t="str">
        <f t="shared" si="22"/>
        <v>三段</v>
      </c>
      <c r="F733" s="10" t="str">
        <f t="shared" si="23"/>
        <v>除外</v>
      </c>
      <c r="G733" s="13" t="s">
        <v>1929</v>
      </c>
      <c r="H733" s="14">
        <v>1013403</v>
      </c>
    </row>
    <row r="734" spans="1:8" ht="30" customHeight="1">
      <c r="A734" s="7">
        <v>728</v>
      </c>
      <c r="B734" s="9" t="s">
        <v>1930</v>
      </c>
      <c r="C734" s="9" t="s">
        <v>698</v>
      </c>
      <c r="D734" s="8">
        <v>41108</v>
      </c>
      <c r="E734" s="10" t="str">
        <f t="shared" si="22"/>
        <v>三段</v>
      </c>
      <c r="F734" s="10" t="str">
        <f t="shared" si="23"/>
        <v>採用候補</v>
      </c>
      <c r="G734" s="13" t="s">
        <v>1931</v>
      </c>
      <c r="H734" s="14">
        <v>1012977</v>
      </c>
    </row>
    <row r="735" spans="1:8" ht="30" customHeight="1">
      <c r="A735" s="7">
        <v>729</v>
      </c>
      <c r="B735" s="9" t="s">
        <v>491</v>
      </c>
      <c r="C735" s="9" t="s">
        <v>19</v>
      </c>
      <c r="D735" s="8">
        <v>37944</v>
      </c>
      <c r="E735" s="10" t="str">
        <f t="shared" si="22"/>
        <v>三段</v>
      </c>
      <c r="F735" s="10" t="str">
        <f t="shared" si="23"/>
        <v>除外</v>
      </c>
      <c r="G735" s="13" t="s">
        <v>1932</v>
      </c>
      <c r="H735" s="14">
        <v>1012747</v>
      </c>
    </row>
    <row r="736" spans="1:8" ht="30" customHeight="1">
      <c r="A736" s="7">
        <v>730</v>
      </c>
      <c r="B736" s="9" t="s">
        <v>1933</v>
      </c>
      <c r="C736" s="9" t="s">
        <v>708</v>
      </c>
      <c r="D736" s="8">
        <v>44835</v>
      </c>
      <c r="E736" s="10" t="str">
        <f t="shared" si="22"/>
        <v>三段</v>
      </c>
      <c r="F736" s="10" t="str">
        <f t="shared" si="23"/>
        <v>採用候補</v>
      </c>
      <c r="G736" s="13" t="s">
        <v>1934</v>
      </c>
      <c r="H736" s="14">
        <v>1011264</v>
      </c>
    </row>
    <row r="737" spans="1:8" ht="30" customHeight="1">
      <c r="A737" s="7">
        <v>731</v>
      </c>
      <c r="B737" s="9" t="s">
        <v>492</v>
      </c>
      <c r="C737" s="9" t="s">
        <v>45</v>
      </c>
      <c r="D737" s="8">
        <v>40128</v>
      </c>
      <c r="E737" s="10" t="str">
        <f t="shared" si="22"/>
        <v>三段</v>
      </c>
      <c r="F737" s="10" t="str">
        <f t="shared" si="23"/>
        <v>除外</v>
      </c>
      <c r="G737" s="13" t="s">
        <v>1935</v>
      </c>
      <c r="H737" s="14">
        <v>1010939</v>
      </c>
    </row>
    <row r="738" spans="1:8" ht="30" customHeight="1">
      <c r="A738" s="7">
        <v>732</v>
      </c>
      <c r="B738" s="9" t="s">
        <v>493</v>
      </c>
      <c r="C738" s="9" t="s">
        <v>494</v>
      </c>
      <c r="D738" s="8">
        <v>36306</v>
      </c>
      <c r="E738" s="10" t="str">
        <f t="shared" si="22"/>
        <v>三段</v>
      </c>
      <c r="F738" s="10" t="str">
        <f t="shared" si="23"/>
        <v>除外</v>
      </c>
      <c r="G738" s="13" t="s">
        <v>1936</v>
      </c>
      <c r="H738" s="14">
        <v>1010073</v>
      </c>
    </row>
    <row r="739" spans="1:8" ht="30" customHeight="1">
      <c r="A739" s="7">
        <v>733</v>
      </c>
      <c r="B739" s="9" t="s">
        <v>1937</v>
      </c>
      <c r="C739" s="9" t="s">
        <v>698</v>
      </c>
      <c r="D739" s="8">
        <v>40275</v>
      </c>
      <c r="E739" s="10" t="str">
        <f t="shared" si="22"/>
        <v>三段</v>
      </c>
      <c r="F739" s="10" t="str">
        <f t="shared" si="23"/>
        <v>採用候補</v>
      </c>
      <c r="G739" s="13" t="s">
        <v>1938</v>
      </c>
      <c r="H739" s="14">
        <v>1009196</v>
      </c>
    </row>
    <row r="740" spans="1:8" ht="30" customHeight="1">
      <c r="A740" s="7">
        <v>734</v>
      </c>
      <c r="B740" s="9" t="s">
        <v>495</v>
      </c>
      <c r="C740" s="9" t="s">
        <v>496</v>
      </c>
      <c r="D740" s="8">
        <v>38413</v>
      </c>
      <c r="E740" s="10" t="str">
        <f t="shared" si="22"/>
        <v>三段</v>
      </c>
      <c r="F740" s="10" t="str">
        <f t="shared" si="23"/>
        <v>除外</v>
      </c>
      <c r="G740" s="13" t="s">
        <v>1939</v>
      </c>
      <c r="H740" s="14">
        <v>1007590</v>
      </c>
    </row>
    <row r="741" spans="1:8" ht="30" customHeight="1">
      <c r="A741" s="7">
        <v>735</v>
      </c>
      <c r="B741" s="9" t="s">
        <v>1940</v>
      </c>
      <c r="C741" s="9" t="s">
        <v>698</v>
      </c>
      <c r="D741" s="8">
        <v>42272</v>
      </c>
      <c r="E741" s="10" t="str">
        <f t="shared" si="22"/>
        <v>三段</v>
      </c>
      <c r="F741" s="10" t="str">
        <f t="shared" si="23"/>
        <v>採用候補</v>
      </c>
      <c r="G741" s="13" t="s">
        <v>1941</v>
      </c>
      <c r="H741" s="14">
        <v>1007330</v>
      </c>
    </row>
    <row r="742" spans="1:8" ht="30" customHeight="1">
      <c r="A742" s="7">
        <v>736</v>
      </c>
      <c r="B742" s="9" t="s">
        <v>1942</v>
      </c>
      <c r="C742" s="9" t="s">
        <v>247</v>
      </c>
      <c r="D742" s="8">
        <v>40996</v>
      </c>
      <c r="E742" s="10" t="str">
        <f t="shared" si="22"/>
        <v>三段</v>
      </c>
      <c r="F742" s="10" t="str">
        <f t="shared" si="23"/>
        <v>採用候補</v>
      </c>
      <c r="G742" s="13" t="s">
        <v>1943</v>
      </c>
      <c r="H742" s="14">
        <v>1006822</v>
      </c>
    </row>
    <row r="743" spans="1:8" ht="30" customHeight="1">
      <c r="A743" s="7">
        <v>737</v>
      </c>
      <c r="B743" s="9" t="s">
        <v>497</v>
      </c>
      <c r="C743" s="9" t="s">
        <v>33</v>
      </c>
      <c r="D743" s="8">
        <v>38791</v>
      </c>
      <c r="E743" s="10" t="str">
        <f t="shared" si="22"/>
        <v>三段</v>
      </c>
      <c r="F743" s="10" t="str">
        <f t="shared" si="23"/>
        <v>除外</v>
      </c>
      <c r="G743" s="13" t="s">
        <v>1944</v>
      </c>
      <c r="H743" s="14">
        <v>1006310</v>
      </c>
    </row>
    <row r="744" spans="1:8" ht="42" customHeight="1">
      <c r="A744" s="7">
        <v>738</v>
      </c>
      <c r="B744" s="9" t="s">
        <v>498</v>
      </c>
      <c r="C744" s="9" t="s">
        <v>67</v>
      </c>
      <c r="D744" s="8">
        <v>33866</v>
      </c>
      <c r="E744" s="10" t="str">
        <f t="shared" si="22"/>
        <v>三段</v>
      </c>
      <c r="F744" s="10" t="str">
        <f t="shared" si="23"/>
        <v>除外</v>
      </c>
      <c r="G744" s="13" t="s">
        <v>1945</v>
      </c>
      <c r="H744" s="14">
        <v>1006269</v>
      </c>
    </row>
    <row r="745" spans="1:8" ht="30" customHeight="1">
      <c r="A745" s="7">
        <v>739</v>
      </c>
      <c r="B745" s="9" t="s">
        <v>1946</v>
      </c>
      <c r="C745" s="9" t="s">
        <v>1253</v>
      </c>
      <c r="D745" s="8">
        <v>44176</v>
      </c>
      <c r="E745" s="10" t="str">
        <f t="shared" si="22"/>
        <v>三段</v>
      </c>
      <c r="F745" s="10" t="str">
        <f t="shared" si="23"/>
        <v>採用候補</v>
      </c>
      <c r="G745" s="13" t="s">
        <v>1947</v>
      </c>
      <c r="H745" s="14">
        <v>1006101</v>
      </c>
    </row>
    <row r="746" spans="1:8" ht="30" customHeight="1">
      <c r="A746" s="7">
        <v>740</v>
      </c>
      <c r="B746" s="9" t="s">
        <v>499</v>
      </c>
      <c r="C746" s="9" t="s">
        <v>500</v>
      </c>
      <c r="D746" s="8">
        <v>38133</v>
      </c>
      <c r="E746" s="10" t="str">
        <f t="shared" si="22"/>
        <v>三段</v>
      </c>
      <c r="F746" s="10" t="str">
        <f t="shared" si="23"/>
        <v>除外</v>
      </c>
      <c r="G746" s="13" t="s">
        <v>1948</v>
      </c>
      <c r="H746" s="14">
        <v>1005248</v>
      </c>
    </row>
    <row r="747" spans="1:8" ht="30" customHeight="1">
      <c r="A747" s="7">
        <v>741</v>
      </c>
      <c r="B747" s="9" t="s">
        <v>501</v>
      </c>
      <c r="C747" s="9" t="s">
        <v>83</v>
      </c>
      <c r="D747" s="8">
        <v>39323</v>
      </c>
      <c r="E747" s="10" t="str">
        <f t="shared" si="22"/>
        <v>三段</v>
      </c>
      <c r="F747" s="10" t="str">
        <f t="shared" si="23"/>
        <v>除外</v>
      </c>
      <c r="G747" s="13" t="s">
        <v>1949</v>
      </c>
      <c r="H747" s="14">
        <v>1005203</v>
      </c>
    </row>
    <row r="748" spans="1:8" ht="30" customHeight="1">
      <c r="A748" s="7">
        <v>742</v>
      </c>
      <c r="B748" s="9" t="s">
        <v>502</v>
      </c>
      <c r="C748" s="9" t="s">
        <v>503</v>
      </c>
      <c r="D748" s="8">
        <v>35373</v>
      </c>
      <c r="E748" s="10" t="str">
        <f t="shared" si="22"/>
        <v>三段</v>
      </c>
      <c r="F748" s="10" t="str">
        <f t="shared" si="23"/>
        <v>除外</v>
      </c>
      <c r="G748" s="13" t="s">
        <v>1950</v>
      </c>
      <c r="H748" s="14">
        <v>1004548</v>
      </c>
    </row>
    <row r="749" spans="1:8" ht="30" customHeight="1">
      <c r="A749" s="7">
        <v>743</v>
      </c>
      <c r="B749" s="9" t="s">
        <v>504</v>
      </c>
      <c r="C749" s="9" t="s">
        <v>505</v>
      </c>
      <c r="D749" s="8">
        <v>37972</v>
      </c>
      <c r="E749" s="10" t="str">
        <f t="shared" si="22"/>
        <v>三段</v>
      </c>
      <c r="F749" s="10" t="str">
        <f t="shared" si="23"/>
        <v>除外</v>
      </c>
      <c r="G749" s="13" t="s">
        <v>1951</v>
      </c>
      <c r="H749" s="14">
        <v>1003984</v>
      </c>
    </row>
    <row r="750" spans="1:8" ht="30" customHeight="1">
      <c r="A750" s="7">
        <v>744</v>
      </c>
      <c r="B750" s="9" t="s">
        <v>1952</v>
      </c>
      <c r="C750" s="9" t="s">
        <v>83</v>
      </c>
      <c r="D750" s="8">
        <v>42475</v>
      </c>
      <c r="E750" s="10" t="str">
        <f t="shared" si="22"/>
        <v>三段</v>
      </c>
      <c r="F750" s="10" t="str">
        <f t="shared" si="23"/>
        <v>採用候補</v>
      </c>
      <c r="G750" s="13" t="s">
        <v>1953</v>
      </c>
      <c r="H750" s="14">
        <v>1003536</v>
      </c>
    </row>
    <row r="751" spans="1:8" ht="30" customHeight="1">
      <c r="A751" s="7">
        <v>745</v>
      </c>
      <c r="B751" s="9" t="s">
        <v>1954</v>
      </c>
      <c r="C751" s="9" t="s">
        <v>50</v>
      </c>
      <c r="D751" s="8">
        <v>40800</v>
      </c>
      <c r="E751" s="10" t="str">
        <f t="shared" si="22"/>
        <v>三段</v>
      </c>
      <c r="F751" s="10" t="str">
        <f t="shared" si="23"/>
        <v>採用候補</v>
      </c>
      <c r="G751" s="13" t="s">
        <v>1955</v>
      </c>
      <c r="H751" s="14">
        <v>1003063</v>
      </c>
    </row>
    <row r="752" spans="1:8" ht="30" customHeight="1">
      <c r="A752" s="7">
        <v>746</v>
      </c>
      <c r="B752" s="9" t="s">
        <v>506</v>
      </c>
      <c r="C752" s="9" t="s">
        <v>507</v>
      </c>
      <c r="D752" s="8">
        <v>39883</v>
      </c>
      <c r="E752" s="10" t="str">
        <f t="shared" si="22"/>
        <v>三段</v>
      </c>
      <c r="F752" s="10" t="str">
        <f t="shared" si="23"/>
        <v>除外</v>
      </c>
      <c r="G752" s="13" t="s">
        <v>1956</v>
      </c>
      <c r="H752" s="14">
        <v>1002937</v>
      </c>
    </row>
    <row r="753" spans="1:8" ht="30" customHeight="1">
      <c r="A753" s="7">
        <v>747</v>
      </c>
      <c r="B753" s="9" t="s">
        <v>508</v>
      </c>
      <c r="C753" s="9" t="s">
        <v>100</v>
      </c>
      <c r="D753" s="8">
        <v>38406</v>
      </c>
      <c r="E753" s="10" t="str">
        <f t="shared" si="22"/>
        <v>三段</v>
      </c>
      <c r="F753" s="10" t="str">
        <f t="shared" si="23"/>
        <v>除外</v>
      </c>
      <c r="G753" s="13" t="s">
        <v>1957</v>
      </c>
      <c r="H753" s="14">
        <v>1002818</v>
      </c>
    </row>
    <row r="754" spans="1:8" ht="30" customHeight="1">
      <c r="A754" s="7">
        <v>748</v>
      </c>
      <c r="B754" s="9" t="s">
        <v>1958</v>
      </c>
      <c r="C754" s="9" t="s">
        <v>155</v>
      </c>
      <c r="D754" s="8">
        <v>40583</v>
      </c>
      <c r="E754" s="10" t="str">
        <f t="shared" si="22"/>
        <v>三段</v>
      </c>
      <c r="F754" s="10" t="str">
        <f t="shared" si="23"/>
        <v>採用候補</v>
      </c>
      <c r="G754" s="13" t="s">
        <v>1959</v>
      </c>
      <c r="H754" s="14">
        <v>1002403</v>
      </c>
    </row>
    <row r="755" spans="1:8" ht="30" customHeight="1">
      <c r="A755" s="7">
        <v>749</v>
      </c>
      <c r="B755" s="9" t="s">
        <v>509</v>
      </c>
      <c r="C755" s="9" t="s">
        <v>480</v>
      </c>
      <c r="D755" s="8">
        <v>35998</v>
      </c>
      <c r="E755" s="10" t="str">
        <f t="shared" si="22"/>
        <v>三段</v>
      </c>
      <c r="F755" s="10" t="str">
        <f t="shared" si="23"/>
        <v>除外</v>
      </c>
      <c r="G755" s="13" t="s">
        <v>1960</v>
      </c>
      <c r="H755" s="14">
        <v>1002340</v>
      </c>
    </row>
    <row r="756" spans="1:8" ht="30" customHeight="1">
      <c r="A756" s="7">
        <v>750</v>
      </c>
      <c r="B756" s="9" t="s">
        <v>510</v>
      </c>
      <c r="C756" s="9" t="s">
        <v>511</v>
      </c>
      <c r="D756" s="8">
        <v>34080</v>
      </c>
      <c r="E756" s="10" t="str">
        <f t="shared" si="22"/>
        <v>三段</v>
      </c>
      <c r="F756" s="10" t="str">
        <f t="shared" si="23"/>
        <v>除外</v>
      </c>
      <c r="G756" s="13" t="s">
        <v>1961</v>
      </c>
      <c r="H756" s="14">
        <v>1001717</v>
      </c>
    </row>
    <row r="757" spans="1:8" ht="30" customHeight="1">
      <c r="A757" s="7">
        <v>751</v>
      </c>
      <c r="B757" s="9" t="s">
        <v>1962</v>
      </c>
      <c r="C757" s="9" t="s">
        <v>777</v>
      </c>
      <c r="D757" s="8">
        <v>42046</v>
      </c>
      <c r="E757" s="10" t="str">
        <f t="shared" si="22"/>
        <v>三段</v>
      </c>
      <c r="F757" s="10" t="str">
        <f t="shared" si="23"/>
        <v>採用候補</v>
      </c>
      <c r="G757" s="13" t="s">
        <v>1963</v>
      </c>
      <c r="H757" s="14">
        <v>1000383</v>
      </c>
    </row>
    <row r="758" spans="1:8" ht="30" customHeight="1">
      <c r="A758" s="7">
        <v>752</v>
      </c>
      <c r="B758" s="9" t="s">
        <v>1964</v>
      </c>
      <c r="C758" s="9" t="s">
        <v>1965</v>
      </c>
      <c r="D758" s="8">
        <v>43012</v>
      </c>
      <c r="E758" s="10" t="str">
        <f t="shared" si="22"/>
        <v>三段</v>
      </c>
      <c r="F758" s="10" t="str">
        <f t="shared" si="23"/>
        <v>採用候補</v>
      </c>
      <c r="G758" s="13" t="s">
        <v>1966</v>
      </c>
      <c r="H758" s="14">
        <v>998594</v>
      </c>
    </row>
    <row r="759" spans="1:8" ht="30" customHeight="1">
      <c r="A759" s="7">
        <v>753</v>
      </c>
      <c r="B759" s="9" t="s">
        <v>512</v>
      </c>
      <c r="C759" s="9" t="s">
        <v>72</v>
      </c>
      <c r="D759" s="8">
        <v>38483</v>
      </c>
      <c r="E759" s="10" t="str">
        <f t="shared" si="22"/>
        <v>三段</v>
      </c>
      <c r="F759" s="10" t="str">
        <f t="shared" si="23"/>
        <v>除外</v>
      </c>
      <c r="G759" s="13" t="s">
        <v>1967</v>
      </c>
      <c r="H759" s="14">
        <v>995535</v>
      </c>
    </row>
    <row r="760" spans="1:8" ht="30" customHeight="1">
      <c r="A760" s="7">
        <v>754</v>
      </c>
      <c r="B760" s="9" t="s">
        <v>1968</v>
      </c>
      <c r="C760" s="9" t="s">
        <v>108</v>
      </c>
      <c r="D760" s="8">
        <v>41213</v>
      </c>
      <c r="E760" s="10" t="str">
        <f t="shared" si="22"/>
        <v>三段</v>
      </c>
      <c r="F760" s="10" t="str">
        <f t="shared" si="23"/>
        <v>採用候補</v>
      </c>
      <c r="G760" s="13" t="s">
        <v>1969</v>
      </c>
      <c r="H760" s="14">
        <v>995412</v>
      </c>
    </row>
    <row r="761" spans="1:8" ht="30" customHeight="1">
      <c r="A761" s="7">
        <v>755</v>
      </c>
      <c r="B761" s="9" t="s">
        <v>513</v>
      </c>
      <c r="C761" s="9" t="s">
        <v>134</v>
      </c>
      <c r="D761" s="8">
        <v>34983</v>
      </c>
      <c r="E761" s="10" t="str">
        <f t="shared" si="22"/>
        <v>三段</v>
      </c>
      <c r="F761" s="10" t="str">
        <f t="shared" si="23"/>
        <v>除外</v>
      </c>
      <c r="G761" s="13" t="s">
        <v>1970</v>
      </c>
      <c r="H761" s="14">
        <v>995280</v>
      </c>
    </row>
    <row r="762" spans="1:8" ht="30" customHeight="1">
      <c r="A762" s="7">
        <v>756</v>
      </c>
      <c r="B762" s="9" t="s">
        <v>514</v>
      </c>
      <c r="C762" s="9" t="s">
        <v>86</v>
      </c>
      <c r="D762" s="8">
        <v>39652</v>
      </c>
      <c r="E762" s="10" t="str">
        <f t="shared" si="22"/>
        <v>三段</v>
      </c>
      <c r="F762" s="10" t="str">
        <f t="shared" si="23"/>
        <v>除外</v>
      </c>
      <c r="G762" s="13" t="s">
        <v>1971</v>
      </c>
      <c r="H762" s="14">
        <v>994320</v>
      </c>
    </row>
    <row r="763" spans="1:8" ht="30" customHeight="1">
      <c r="A763" s="7">
        <v>757</v>
      </c>
      <c r="B763" s="9" t="s">
        <v>1972</v>
      </c>
      <c r="C763" s="9" t="s">
        <v>1973</v>
      </c>
      <c r="D763" s="8">
        <v>40471</v>
      </c>
      <c r="E763" s="10" t="str">
        <f t="shared" si="22"/>
        <v>三段</v>
      </c>
      <c r="F763" s="10" t="str">
        <f t="shared" si="23"/>
        <v>採用候補</v>
      </c>
      <c r="G763" s="13" t="s">
        <v>1974</v>
      </c>
      <c r="H763" s="14">
        <v>993331</v>
      </c>
    </row>
    <row r="764" spans="1:8" ht="30" customHeight="1">
      <c r="A764" s="7">
        <v>758</v>
      </c>
      <c r="B764" s="9" t="s">
        <v>1975</v>
      </c>
      <c r="C764" s="9" t="s">
        <v>722</v>
      </c>
      <c r="D764" s="8">
        <v>42991</v>
      </c>
      <c r="E764" s="10" t="str">
        <f t="shared" si="22"/>
        <v>三段</v>
      </c>
      <c r="F764" s="10" t="str">
        <f t="shared" si="23"/>
        <v>採用候補</v>
      </c>
      <c r="G764" s="13" t="s">
        <v>1976</v>
      </c>
      <c r="H764" s="14">
        <v>992627</v>
      </c>
    </row>
    <row r="765" spans="1:8" ht="30" customHeight="1">
      <c r="A765" s="7">
        <v>759</v>
      </c>
      <c r="B765" s="9" t="s">
        <v>1977</v>
      </c>
      <c r="C765" s="9" t="s">
        <v>70</v>
      </c>
      <c r="D765" s="8">
        <v>42116</v>
      </c>
      <c r="E765" s="10" t="str">
        <f t="shared" si="22"/>
        <v>三段</v>
      </c>
      <c r="F765" s="10" t="str">
        <f t="shared" si="23"/>
        <v>採用候補</v>
      </c>
      <c r="G765" s="13" t="s">
        <v>1978</v>
      </c>
      <c r="H765" s="14">
        <v>992252</v>
      </c>
    </row>
    <row r="766" spans="1:8" ht="30" customHeight="1">
      <c r="A766" s="7">
        <v>760</v>
      </c>
      <c r="B766" s="9" t="s">
        <v>1979</v>
      </c>
      <c r="C766" s="9" t="s">
        <v>923</v>
      </c>
      <c r="D766" s="8">
        <v>44874</v>
      </c>
      <c r="E766" s="10" t="str">
        <f t="shared" si="22"/>
        <v>三段</v>
      </c>
      <c r="F766" s="10" t="str">
        <f t="shared" si="23"/>
        <v>採用候補</v>
      </c>
      <c r="G766" s="13" t="s">
        <v>1980</v>
      </c>
      <c r="H766" s="14">
        <v>992102</v>
      </c>
    </row>
    <row r="767" spans="1:8" ht="30" customHeight="1">
      <c r="A767" s="7">
        <v>761</v>
      </c>
      <c r="B767" s="9" t="s">
        <v>515</v>
      </c>
      <c r="C767" s="9" t="s">
        <v>140</v>
      </c>
      <c r="D767" s="8">
        <v>36768</v>
      </c>
      <c r="E767" s="10" t="str">
        <f t="shared" si="22"/>
        <v>三段</v>
      </c>
      <c r="F767" s="10" t="str">
        <f t="shared" si="23"/>
        <v>除外</v>
      </c>
      <c r="G767" s="13" t="s">
        <v>1981</v>
      </c>
      <c r="H767" s="14">
        <v>991042</v>
      </c>
    </row>
    <row r="768" spans="1:8" ht="30" customHeight="1">
      <c r="A768" s="7">
        <v>762</v>
      </c>
      <c r="B768" s="9" t="s">
        <v>516</v>
      </c>
      <c r="C768" s="9" t="s">
        <v>165</v>
      </c>
      <c r="D768" s="8">
        <v>37076</v>
      </c>
      <c r="E768" s="10" t="str">
        <f t="shared" si="22"/>
        <v>三段</v>
      </c>
      <c r="F768" s="10" t="str">
        <f t="shared" si="23"/>
        <v>除外</v>
      </c>
      <c r="G768" s="13" t="s">
        <v>1982</v>
      </c>
      <c r="H768" s="14">
        <v>988990</v>
      </c>
    </row>
    <row r="769" spans="1:8" ht="30" customHeight="1">
      <c r="A769" s="7">
        <v>763</v>
      </c>
      <c r="B769" s="9" t="s">
        <v>517</v>
      </c>
      <c r="C769" s="9" t="s">
        <v>426</v>
      </c>
      <c r="D769" s="8">
        <v>38497</v>
      </c>
      <c r="E769" s="10" t="str">
        <f t="shared" si="22"/>
        <v>三段</v>
      </c>
      <c r="F769" s="10" t="str">
        <f t="shared" si="23"/>
        <v>除外</v>
      </c>
      <c r="G769" s="13" t="s">
        <v>1983</v>
      </c>
      <c r="H769" s="14">
        <v>986730</v>
      </c>
    </row>
    <row r="770" spans="1:8" ht="30" customHeight="1">
      <c r="A770" s="7">
        <v>764</v>
      </c>
      <c r="B770" s="9" t="s">
        <v>1984</v>
      </c>
      <c r="C770" s="9" t="s">
        <v>1985</v>
      </c>
      <c r="D770" s="8">
        <v>42515</v>
      </c>
      <c r="E770" s="10" t="str">
        <f t="shared" si="22"/>
        <v>三段</v>
      </c>
      <c r="F770" s="10" t="str">
        <f t="shared" si="23"/>
        <v>採用候補</v>
      </c>
      <c r="G770" s="13" t="s">
        <v>1986</v>
      </c>
      <c r="H770" s="14">
        <v>986636</v>
      </c>
    </row>
    <row r="771" spans="1:8" ht="30" customHeight="1">
      <c r="A771" s="7">
        <v>765</v>
      </c>
      <c r="B771" s="9" t="s">
        <v>518</v>
      </c>
      <c r="C771" s="9" t="s">
        <v>27</v>
      </c>
      <c r="D771" s="8">
        <v>38196</v>
      </c>
      <c r="E771" s="10" t="str">
        <f t="shared" si="22"/>
        <v>三段</v>
      </c>
      <c r="F771" s="10" t="str">
        <f t="shared" si="23"/>
        <v>除外</v>
      </c>
      <c r="G771" s="13" t="s">
        <v>1987</v>
      </c>
      <c r="H771" s="14">
        <v>986260</v>
      </c>
    </row>
    <row r="772" spans="1:8" ht="30" customHeight="1">
      <c r="A772" s="7">
        <v>766</v>
      </c>
      <c r="B772" s="9" t="s">
        <v>519</v>
      </c>
      <c r="C772" s="9" t="s">
        <v>227</v>
      </c>
      <c r="D772" s="8">
        <v>33373</v>
      </c>
      <c r="E772" s="10" t="str">
        <f t="shared" si="22"/>
        <v>三段</v>
      </c>
      <c r="F772" s="10" t="str">
        <f t="shared" si="23"/>
        <v>除外</v>
      </c>
      <c r="G772" s="13" t="s">
        <v>1988</v>
      </c>
      <c r="H772" s="14">
        <v>985891</v>
      </c>
    </row>
    <row r="773" spans="1:8" ht="42" customHeight="1">
      <c r="A773" s="7">
        <v>767</v>
      </c>
      <c r="B773" s="9" t="s">
        <v>520</v>
      </c>
      <c r="C773" s="9" t="s">
        <v>359</v>
      </c>
      <c r="D773" s="8">
        <v>35837</v>
      </c>
      <c r="E773" s="10" t="str">
        <f t="shared" si="22"/>
        <v>三段</v>
      </c>
      <c r="F773" s="10" t="str">
        <f t="shared" si="23"/>
        <v>除外</v>
      </c>
      <c r="G773" s="13" t="s">
        <v>1989</v>
      </c>
      <c r="H773" s="14">
        <v>983806</v>
      </c>
    </row>
    <row r="774" spans="1:8" ht="30" customHeight="1">
      <c r="A774" s="7">
        <v>768</v>
      </c>
      <c r="B774" s="9" t="s">
        <v>521</v>
      </c>
      <c r="C774" s="9" t="s">
        <v>522</v>
      </c>
      <c r="D774" s="8">
        <v>34932</v>
      </c>
      <c r="E774" s="10" t="str">
        <f t="shared" si="22"/>
        <v>三段</v>
      </c>
      <c r="F774" s="10" t="str">
        <f t="shared" si="23"/>
        <v>除外</v>
      </c>
      <c r="G774" s="13" t="s">
        <v>1990</v>
      </c>
      <c r="H774" s="14">
        <v>983617</v>
      </c>
    </row>
    <row r="775" spans="1:8" ht="30" customHeight="1">
      <c r="A775" s="7">
        <v>769</v>
      </c>
      <c r="B775" s="9" t="s">
        <v>523</v>
      </c>
      <c r="C775" s="9" t="s">
        <v>524</v>
      </c>
      <c r="D775" s="8">
        <v>35011</v>
      </c>
      <c r="E775" s="10" t="str">
        <f t="shared" ref="E775:E838" si="24">CHOOSE(INT((A775-1)/100)+1,"5級","4級","3級","2級","1級","初段","二段","三段","四段","五段")</f>
        <v>三段</v>
      </c>
      <c r="F775" s="10" t="str">
        <f t="shared" ref="F775:F838" si="25">IF(D775&gt;=DATE(2010,1,1),"採用候補","除外")</f>
        <v>除外</v>
      </c>
      <c r="G775" s="13" t="s">
        <v>1991</v>
      </c>
      <c r="H775" s="14">
        <v>982061</v>
      </c>
    </row>
    <row r="776" spans="1:8" ht="30" customHeight="1">
      <c r="A776" s="7">
        <v>770</v>
      </c>
      <c r="B776" s="9" t="s">
        <v>525</v>
      </c>
      <c r="C776" s="9" t="s">
        <v>526</v>
      </c>
      <c r="D776" s="8">
        <v>39925</v>
      </c>
      <c r="E776" s="10" t="str">
        <f t="shared" si="24"/>
        <v>三段</v>
      </c>
      <c r="F776" s="10" t="str">
        <f t="shared" si="25"/>
        <v>除外</v>
      </c>
      <c r="G776" s="13" t="s">
        <v>1992</v>
      </c>
      <c r="H776" s="14">
        <v>979711</v>
      </c>
    </row>
    <row r="777" spans="1:8" ht="30" customHeight="1">
      <c r="A777" s="7">
        <v>771</v>
      </c>
      <c r="B777" s="9" t="s">
        <v>594</v>
      </c>
      <c r="C777" s="9" t="s">
        <v>83</v>
      </c>
      <c r="D777" s="8">
        <v>43278</v>
      </c>
      <c r="E777" s="10" t="str">
        <f t="shared" si="24"/>
        <v>三段</v>
      </c>
      <c r="F777" s="10" t="str">
        <f t="shared" si="25"/>
        <v>採用候補</v>
      </c>
      <c r="G777" s="13" t="s">
        <v>1993</v>
      </c>
      <c r="H777" s="14">
        <v>979539</v>
      </c>
    </row>
    <row r="778" spans="1:8" ht="30" customHeight="1">
      <c r="A778" s="7">
        <v>772</v>
      </c>
      <c r="B778" s="9" t="s">
        <v>527</v>
      </c>
      <c r="C778" s="9" t="s">
        <v>65</v>
      </c>
      <c r="D778" s="8">
        <v>39620</v>
      </c>
      <c r="E778" s="10" t="str">
        <f t="shared" si="24"/>
        <v>三段</v>
      </c>
      <c r="F778" s="10" t="str">
        <f t="shared" si="25"/>
        <v>除外</v>
      </c>
      <c r="G778" s="13" t="s">
        <v>1994</v>
      </c>
      <c r="H778" s="14">
        <v>978298</v>
      </c>
    </row>
    <row r="779" spans="1:8" ht="30" customHeight="1">
      <c r="A779" s="7">
        <v>773</v>
      </c>
      <c r="B779" s="9" t="s">
        <v>1995</v>
      </c>
      <c r="C779" s="9" t="s">
        <v>1996</v>
      </c>
      <c r="D779" s="8">
        <v>42319</v>
      </c>
      <c r="E779" s="10" t="str">
        <f t="shared" si="24"/>
        <v>三段</v>
      </c>
      <c r="F779" s="10" t="str">
        <f t="shared" si="25"/>
        <v>採用候補</v>
      </c>
      <c r="G779" s="13" t="s">
        <v>1997</v>
      </c>
      <c r="H779" s="14">
        <v>977167</v>
      </c>
    </row>
    <row r="780" spans="1:8" ht="30" customHeight="1">
      <c r="A780" s="7">
        <v>774</v>
      </c>
      <c r="B780" s="9" t="s">
        <v>73</v>
      </c>
      <c r="C780" s="9" t="s">
        <v>70</v>
      </c>
      <c r="D780" s="8">
        <v>42410</v>
      </c>
      <c r="E780" s="10" t="str">
        <f t="shared" si="24"/>
        <v>三段</v>
      </c>
      <c r="F780" s="10" t="str">
        <f t="shared" si="25"/>
        <v>採用候補</v>
      </c>
      <c r="G780" s="13" t="s">
        <v>1998</v>
      </c>
      <c r="H780" s="14">
        <v>976971</v>
      </c>
    </row>
    <row r="781" spans="1:8" ht="30" customHeight="1">
      <c r="A781" s="7">
        <v>775</v>
      </c>
      <c r="B781" s="9" t="s">
        <v>1999</v>
      </c>
      <c r="C781" s="9" t="s">
        <v>209</v>
      </c>
      <c r="D781" s="8">
        <v>40695</v>
      </c>
      <c r="E781" s="10" t="str">
        <f t="shared" si="24"/>
        <v>三段</v>
      </c>
      <c r="F781" s="10" t="str">
        <f t="shared" si="25"/>
        <v>採用候補</v>
      </c>
      <c r="G781" s="13" t="s">
        <v>2000</v>
      </c>
      <c r="H781" s="14">
        <v>975847</v>
      </c>
    </row>
    <row r="782" spans="1:8" ht="30" customHeight="1">
      <c r="A782" s="7">
        <v>776</v>
      </c>
      <c r="B782" s="9" t="s">
        <v>528</v>
      </c>
      <c r="C782" s="9" t="s">
        <v>529</v>
      </c>
      <c r="D782" s="8">
        <v>34274</v>
      </c>
      <c r="E782" s="10" t="str">
        <f t="shared" si="24"/>
        <v>三段</v>
      </c>
      <c r="F782" s="10" t="str">
        <f t="shared" si="25"/>
        <v>除外</v>
      </c>
      <c r="G782" s="13" t="s">
        <v>2001</v>
      </c>
      <c r="H782" s="14">
        <v>975587</v>
      </c>
    </row>
    <row r="783" spans="1:8" ht="30" customHeight="1">
      <c r="A783" s="7">
        <v>777</v>
      </c>
      <c r="B783" s="9" t="s">
        <v>530</v>
      </c>
      <c r="C783" s="9" t="s">
        <v>45</v>
      </c>
      <c r="D783" s="8">
        <v>39960</v>
      </c>
      <c r="E783" s="10" t="str">
        <f t="shared" si="24"/>
        <v>三段</v>
      </c>
      <c r="F783" s="10" t="str">
        <f t="shared" si="25"/>
        <v>除外</v>
      </c>
      <c r="G783" s="13" t="s">
        <v>2002</v>
      </c>
      <c r="H783" s="14">
        <v>975514</v>
      </c>
    </row>
    <row r="784" spans="1:8" ht="30" customHeight="1">
      <c r="A784" s="7">
        <v>778</v>
      </c>
      <c r="B784" s="9" t="s">
        <v>2003</v>
      </c>
      <c r="C784" s="9" t="s">
        <v>758</v>
      </c>
      <c r="D784" s="8">
        <v>40821</v>
      </c>
      <c r="E784" s="10" t="str">
        <f t="shared" si="24"/>
        <v>三段</v>
      </c>
      <c r="F784" s="10" t="str">
        <f t="shared" si="25"/>
        <v>採用候補</v>
      </c>
      <c r="G784" s="13" t="s">
        <v>2004</v>
      </c>
      <c r="H784" s="14">
        <v>975004</v>
      </c>
    </row>
    <row r="785" spans="1:8" ht="30" customHeight="1">
      <c r="A785" s="7">
        <v>779</v>
      </c>
      <c r="B785" s="9" t="s">
        <v>531</v>
      </c>
      <c r="C785" s="9" t="s">
        <v>29</v>
      </c>
      <c r="D785" s="8">
        <v>38987</v>
      </c>
      <c r="E785" s="10" t="str">
        <f t="shared" si="24"/>
        <v>三段</v>
      </c>
      <c r="F785" s="10" t="str">
        <f t="shared" si="25"/>
        <v>除外</v>
      </c>
      <c r="G785" s="13" t="s">
        <v>2005</v>
      </c>
      <c r="H785" s="14">
        <v>974458</v>
      </c>
    </row>
    <row r="786" spans="1:8" ht="30" customHeight="1">
      <c r="A786" s="7">
        <v>780</v>
      </c>
      <c r="B786" s="9" t="s">
        <v>2006</v>
      </c>
      <c r="C786" s="9" t="s">
        <v>714</v>
      </c>
      <c r="D786" s="8">
        <v>43686</v>
      </c>
      <c r="E786" s="10" t="str">
        <f t="shared" si="24"/>
        <v>三段</v>
      </c>
      <c r="F786" s="10" t="str">
        <f t="shared" si="25"/>
        <v>採用候補</v>
      </c>
      <c r="G786" s="13" t="s">
        <v>2007</v>
      </c>
      <c r="H786" s="14">
        <v>973545</v>
      </c>
    </row>
    <row r="787" spans="1:8" ht="30" customHeight="1">
      <c r="A787" s="7">
        <v>781</v>
      </c>
      <c r="B787" s="9" t="s">
        <v>532</v>
      </c>
      <c r="C787" s="9" t="s">
        <v>533</v>
      </c>
      <c r="D787" s="8">
        <v>35755</v>
      </c>
      <c r="E787" s="10" t="str">
        <f t="shared" si="24"/>
        <v>三段</v>
      </c>
      <c r="F787" s="10" t="str">
        <f t="shared" si="25"/>
        <v>除外</v>
      </c>
      <c r="G787" s="13" t="s">
        <v>2008</v>
      </c>
      <c r="H787" s="14">
        <v>972948</v>
      </c>
    </row>
    <row r="788" spans="1:8" ht="30" customHeight="1">
      <c r="A788" s="7">
        <v>782</v>
      </c>
      <c r="B788" s="9" t="s">
        <v>2009</v>
      </c>
      <c r="C788" s="9" t="s">
        <v>1241</v>
      </c>
      <c r="D788" s="8">
        <v>40408</v>
      </c>
      <c r="E788" s="10" t="str">
        <f t="shared" si="24"/>
        <v>三段</v>
      </c>
      <c r="F788" s="10" t="str">
        <f t="shared" si="25"/>
        <v>採用候補</v>
      </c>
      <c r="G788" s="13" t="s">
        <v>2010</v>
      </c>
      <c r="H788" s="14">
        <v>972579</v>
      </c>
    </row>
    <row r="789" spans="1:8" ht="30" customHeight="1">
      <c r="A789" s="7">
        <v>783</v>
      </c>
      <c r="B789" s="9" t="s">
        <v>2011</v>
      </c>
      <c r="C789" s="9" t="s">
        <v>60</v>
      </c>
      <c r="D789" s="8">
        <v>40422</v>
      </c>
      <c r="E789" s="10" t="str">
        <f t="shared" si="24"/>
        <v>三段</v>
      </c>
      <c r="F789" s="10" t="str">
        <f t="shared" si="25"/>
        <v>採用候補</v>
      </c>
      <c r="G789" s="13" t="s">
        <v>2012</v>
      </c>
      <c r="H789" s="14">
        <v>971729</v>
      </c>
    </row>
    <row r="790" spans="1:8" ht="42" customHeight="1">
      <c r="A790" s="7">
        <v>784</v>
      </c>
      <c r="B790" s="9" t="s">
        <v>2013</v>
      </c>
      <c r="C790" s="9" t="s">
        <v>787</v>
      </c>
      <c r="D790" s="8">
        <v>42053</v>
      </c>
      <c r="E790" s="10" t="str">
        <f t="shared" si="24"/>
        <v>三段</v>
      </c>
      <c r="F790" s="10" t="str">
        <f t="shared" si="25"/>
        <v>採用候補</v>
      </c>
      <c r="G790" s="13" t="s">
        <v>2014</v>
      </c>
      <c r="H790" s="14">
        <v>970893</v>
      </c>
    </row>
    <row r="791" spans="1:8" ht="30" customHeight="1">
      <c r="A791" s="7">
        <v>785</v>
      </c>
      <c r="B791" s="9" t="s">
        <v>534</v>
      </c>
      <c r="C791" s="9" t="s">
        <v>124</v>
      </c>
      <c r="D791" s="8">
        <v>39960</v>
      </c>
      <c r="E791" s="10" t="str">
        <f t="shared" si="24"/>
        <v>三段</v>
      </c>
      <c r="F791" s="10" t="str">
        <f t="shared" si="25"/>
        <v>除外</v>
      </c>
      <c r="G791" s="13" t="s">
        <v>2015</v>
      </c>
      <c r="H791" s="14">
        <v>970890</v>
      </c>
    </row>
    <row r="792" spans="1:8" ht="30" customHeight="1">
      <c r="A792" s="7">
        <v>786</v>
      </c>
      <c r="B792" s="9" t="s">
        <v>2016</v>
      </c>
      <c r="C792" s="9" t="s">
        <v>1158</v>
      </c>
      <c r="D792" s="8">
        <v>41339</v>
      </c>
      <c r="E792" s="10" t="str">
        <f t="shared" si="24"/>
        <v>三段</v>
      </c>
      <c r="F792" s="10" t="str">
        <f t="shared" si="25"/>
        <v>採用候補</v>
      </c>
      <c r="G792" s="13" t="s">
        <v>2017</v>
      </c>
      <c r="H792" s="14">
        <v>970797</v>
      </c>
    </row>
    <row r="793" spans="1:8" ht="30" customHeight="1">
      <c r="A793" s="7">
        <v>787</v>
      </c>
      <c r="B793" s="9" t="s">
        <v>535</v>
      </c>
      <c r="C793" s="9" t="s">
        <v>29</v>
      </c>
      <c r="D793" s="8">
        <v>37734</v>
      </c>
      <c r="E793" s="10" t="str">
        <f t="shared" si="24"/>
        <v>三段</v>
      </c>
      <c r="F793" s="10" t="str">
        <f t="shared" si="25"/>
        <v>除外</v>
      </c>
      <c r="G793" s="13" t="s">
        <v>2018</v>
      </c>
      <c r="H793" s="14">
        <v>968900</v>
      </c>
    </row>
    <row r="794" spans="1:8" ht="30" customHeight="1">
      <c r="A794" s="7">
        <v>788</v>
      </c>
      <c r="B794" s="9" t="s">
        <v>536</v>
      </c>
      <c r="C794" s="9" t="s">
        <v>537</v>
      </c>
      <c r="D794" s="8">
        <v>39008</v>
      </c>
      <c r="E794" s="10" t="str">
        <f t="shared" si="24"/>
        <v>三段</v>
      </c>
      <c r="F794" s="10" t="str">
        <f t="shared" si="25"/>
        <v>除外</v>
      </c>
      <c r="G794" s="13" t="s">
        <v>2019</v>
      </c>
      <c r="H794" s="14">
        <v>967661</v>
      </c>
    </row>
    <row r="795" spans="1:8" ht="30" customHeight="1">
      <c r="A795" s="7">
        <v>789</v>
      </c>
      <c r="B795" s="9" t="s">
        <v>2020</v>
      </c>
      <c r="C795" s="9" t="s">
        <v>679</v>
      </c>
      <c r="D795" s="8">
        <v>40975</v>
      </c>
      <c r="E795" s="10" t="str">
        <f t="shared" si="24"/>
        <v>三段</v>
      </c>
      <c r="F795" s="10" t="str">
        <f t="shared" si="25"/>
        <v>採用候補</v>
      </c>
      <c r="G795" s="13" t="s">
        <v>2021</v>
      </c>
      <c r="H795" s="14">
        <v>967470</v>
      </c>
    </row>
    <row r="796" spans="1:8" ht="30" customHeight="1">
      <c r="A796" s="7">
        <v>790</v>
      </c>
      <c r="B796" s="9" t="s">
        <v>2022</v>
      </c>
      <c r="C796" s="9" t="s">
        <v>45</v>
      </c>
      <c r="D796" s="8">
        <v>40849</v>
      </c>
      <c r="E796" s="10" t="str">
        <f t="shared" si="24"/>
        <v>三段</v>
      </c>
      <c r="F796" s="10" t="str">
        <f t="shared" si="25"/>
        <v>採用候補</v>
      </c>
      <c r="G796" s="13" t="s">
        <v>2023</v>
      </c>
      <c r="H796" s="14">
        <v>965879</v>
      </c>
    </row>
    <row r="797" spans="1:8" ht="30" customHeight="1">
      <c r="A797" s="7">
        <v>791</v>
      </c>
      <c r="B797" s="9" t="s">
        <v>2024</v>
      </c>
      <c r="C797" s="9" t="s">
        <v>708</v>
      </c>
      <c r="D797" s="8">
        <v>44379</v>
      </c>
      <c r="E797" s="10" t="str">
        <f t="shared" si="24"/>
        <v>三段</v>
      </c>
      <c r="F797" s="10" t="str">
        <f t="shared" si="25"/>
        <v>採用候補</v>
      </c>
      <c r="G797" s="13" t="s">
        <v>2025</v>
      </c>
      <c r="H797" s="14">
        <v>965568</v>
      </c>
    </row>
    <row r="798" spans="1:8" ht="30" customHeight="1">
      <c r="A798" s="7">
        <v>792</v>
      </c>
      <c r="B798" s="9" t="s">
        <v>2026</v>
      </c>
      <c r="C798" s="9" t="s">
        <v>698</v>
      </c>
      <c r="D798" s="8">
        <v>41661</v>
      </c>
      <c r="E798" s="10" t="str">
        <f t="shared" si="24"/>
        <v>三段</v>
      </c>
      <c r="F798" s="10" t="str">
        <f t="shared" si="25"/>
        <v>採用候補</v>
      </c>
      <c r="G798" s="13" t="s">
        <v>2027</v>
      </c>
      <c r="H798" s="14">
        <v>965123</v>
      </c>
    </row>
    <row r="799" spans="1:8" ht="30" customHeight="1">
      <c r="A799" s="7">
        <v>793</v>
      </c>
      <c r="B799" s="9" t="s">
        <v>538</v>
      </c>
      <c r="C799" s="9" t="s">
        <v>539</v>
      </c>
      <c r="D799" s="8">
        <v>39071</v>
      </c>
      <c r="E799" s="10" t="str">
        <f t="shared" si="24"/>
        <v>三段</v>
      </c>
      <c r="F799" s="10" t="str">
        <f t="shared" si="25"/>
        <v>除外</v>
      </c>
      <c r="G799" s="13" t="s">
        <v>2028</v>
      </c>
      <c r="H799" s="14">
        <v>964616</v>
      </c>
    </row>
    <row r="800" spans="1:8" ht="42" customHeight="1">
      <c r="A800" s="7">
        <v>794</v>
      </c>
      <c r="B800" s="9" t="s">
        <v>2029</v>
      </c>
      <c r="C800" s="9" t="s">
        <v>787</v>
      </c>
      <c r="D800" s="8">
        <v>42354</v>
      </c>
      <c r="E800" s="10" t="str">
        <f t="shared" si="24"/>
        <v>三段</v>
      </c>
      <c r="F800" s="10" t="str">
        <f t="shared" si="25"/>
        <v>採用候補</v>
      </c>
      <c r="G800" s="13" t="s">
        <v>2030</v>
      </c>
      <c r="H800" s="14">
        <v>963300</v>
      </c>
    </row>
    <row r="801" spans="1:8" ht="30" customHeight="1">
      <c r="A801" s="7">
        <v>795</v>
      </c>
      <c r="B801" s="9" t="s">
        <v>2031</v>
      </c>
      <c r="C801" s="9" t="s">
        <v>124</v>
      </c>
      <c r="D801" s="8">
        <v>40191</v>
      </c>
      <c r="E801" s="10" t="str">
        <f t="shared" si="24"/>
        <v>三段</v>
      </c>
      <c r="F801" s="10" t="str">
        <f t="shared" si="25"/>
        <v>採用候補</v>
      </c>
      <c r="G801" s="13" t="s">
        <v>2032</v>
      </c>
      <c r="H801" s="14">
        <v>962755</v>
      </c>
    </row>
    <row r="802" spans="1:8" ht="30" customHeight="1">
      <c r="A802" s="7">
        <v>796</v>
      </c>
      <c r="B802" s="9" t="s">
        <v>540</v>
      </c>
      <c r="C802" s="9" t="s">
        <v>12</v>
      </c>
      <c r="D802" s="8">
        <v>39883</v>
      </c>
      <c r="E802" s="10" t="str">
        <f t="shared" si="24"/>
        <v>三段</v>
      </c>
      <c r="F802" s="10" t="str">
        <f t="shared" si="25"/>
        <v>除外</v>
      </c>
      <c r="G802" s="13" t="s">
        <v>2033</v>
      </c>
      <c r="H802" s="14">
        <v>961605</v>
      </c>
    </row>
    <row r="803" spans="1:8" ht="30" customHeight="1">
      <c r="A803" s="7">
        <v>797</v>
      </c>
      <c r="B803" s="9" t="s">
        <v>541</v>
      </c>
      <c r="C803" s="9" t="s">
        <v>88</v>
      </c>
      <c r="D803" s="8">
        <v>35971</v>
      </c>
      <c r="E803" s="10" t="str">
        <f t="shared" si="24"/>
        <v>三段</v>
      </c>
      <c r="F803" s="10" t="str">
        <f t="shared" si="25"/>
        <v>除外</v>
      </c>
      <c r="G803" s="13" t="s">
        <v>2034</v>
      </c>
      <c r="H803" s="14">
        <v>961246</v>
      </c>
    </row>
    <row r="804" spans="1:8" ht="30" customHeight="1">
      <c r="A804" s="7">
        <v>798</v>
      </c>
      <c r="B804" s="9" t="s">
        <v>542</v>
      </c>
      <c r="C804" s="9" t="s">
        <v>543</v>
      </c>
      <c r="D804" s="8">
        <v>39932</v>
      </c>
      <c r="E804" s="10" t="str">
        <f t="shared" si="24"/>
        <v>三段</v>
      </c>
      <c r="F804" s="10" t="str">
        <f t="shared" si="25"/>
        <v>除外</v>
      </c>
      <c r="G804" s="13" t="s">
        <v>2035</v>
      </c>
      <c r="H804" s="14">
        <v>960121</v>
      </c>
    </row>
    <row r="805" spans="1:8" ht="30" customHeight="1">
      <c r="A805" s="7">
        <v>799</v>
      </c>
      <c r="B805" s="9" t="s">
        <v>2036</v>
      </c>
      <c r="C805" s="9" t="s">
        <v>1158</v>
      </c>
      <c r="D805" s="8">
        <v>41479</v>
      </c>
      <c r="E805" s="10" t="str">
        <f t="shared" si="24"/>
        <v>三段</v>
      </c>
      <c r="F805" s="10" t="str">
        <f t="shared" si="25"/>
        <v>採用候補</v>
      </c>
      <c r="G805" s="13" t="s">
        <v>2037</v>
      </c>
      <c r="H805" s="14">
        <v>959788</v>
      </c>
    </row>
    <row r="806" spans="1:8" ht="42" customHeight="1">
      <c r="A806" s="7">
        <v>800</v>
      </c>
      <c r="B806" s="9" t="s">
        <v>544</v>
      </c>
      <c r="C806" s="9" t="s">
        <v>545</v>
      </c>
      <c r="D806" s="8">
        <v>39876</v>
      </c>
      <c r="E806" s="10" t="str">
        <f t="shared" si="24"/>
        <v>三段</v>
      </c>
      <c r="F806" s="10" t="str">
        <f t="shared" si="25"/>
        <v>除外</v>
      </c>
      <c r="G806" s="13" t="s">
        <v>2038</v>
      </c>
      <c r="H806" s="14">
        <v>958015</v>
      </c>
    </row>
    <row r="807" spans="1:8" ht="30" customHeight="1">
      <c r="A807" s="7">
        <v>801</v>
      </c>
      <c r="B807" s="9" t="s">
        <v>2039</v>
      </c>
      <c r="C807" s="9" t="s">
        <v>679</v>
      </c>
      <c r="D807" s="8">
        <v>41220</v>
      </c>
      <c r="E807" s="10" t="str">
        <f t="shared" si="24"/>
        <v>四段</v>
      </c>
      <c r="F807" s="10" t="str">
        <f t="shared" si="25"/>
        <v>採用候補</v>
      </c>
      <c r="G807" s="13" t="s">
        <v>2040</v>
      </c>
      <c r="H807" s="14">
        <v>957586</v>
      </c>
    </row>
    <row r="808" spans="1:8" ht="30" customHeight="1">
      <c r="A808" s="7">
        <v>802</v>
      </c>
      <c r="B808" s="9" t="s">
        <v>2041</v>
      </c>
      <c r="C808" s="9" t="s">
        <v>1600</v>
      </c>
      <c r="D808" s="8">
        <v>42102</v>
      </c>
      <c r="E808" s="10" t="str">
        <f t="shared" si="24"/>
        <v>四段</v>
      </c>
      <c r="F808" s="10" t="str">
        <f t="shared" si="25"/>
        <v>採用候補</v>
      </c>
      <c r="G808" s="13" t="s">
        <v>2042</v>
      </c>
      <c r="H808" s="14">
        <v>957201</v>
      </c>
    </row>
    <row r="809" spans="1:8" ht="30" customHeight="1">
      <c r="A809" s="7">
        <v>803</v>
      </c>
      <c r="B809" s="9" t="s">
        <v>546</v>
      </c>
      <c r="C809" s="9" t="s">
        <v>257</v>
      </c>
      <c r="D809" s="8">
        <v>33147</v>
      </c>
      <c r="E809" s="10" t="str">
        <f t="shared" si="24"/>
        <v>四段</v>
      </c>
      <c r="F809" s="10" t="str">
        <f t="shared" si="25"/>
        <v>除外</v>
      </c>
      <c r="G809" s="13" t="s">
        <v>2043</v>
      </c>
      <c r="H809" s="14">
        <v>956552</v>
      </c>
    </row>
    <row r="810" spans="1:8" ht="30" customHeight="1">
      <c r="A810" s="7">
        <v>804</v>
      </c>
      <c r="B810" s="9" t="s">
        <v>2044</v>
      </c>
      <c r="C810" s="9" t="s">
        <v>1021</v>
      </c>
      <c r="D810" s="8">
        <v>44517</v>
      </c>
      <c r="E810" s="10" t="str">
        <f t="shared" si="24"/>
        <v>四段</v>
      </c>
      <c r="F810" s="10" t="str">
        <f t="shared" si="25"/>
        <v>採用候補</v>
      </c>
      <c r="G810" s="13" t="s">
        <v>2045</v>
      </c>
      <c r="H810" s="14">
        <v>956416</v>
      </c>
    </row>
    <row r="811" spans="1:8" ht="42" customHeight="1">
      <c r="A811" s="7">
        <v>805</v>
      </c>
      <c r="B811" s="9" t="s">
        <v>2046</v>
      </c>
      <c r="C811" s="9" t="s">
        <v>654</v>
      </c>
      <c r="D811" s="8">
        <v>40807</v>
      </c>
      <c r="E811" s="10" t="str">
        <f t="shared" si="24"/>
        <v>四段</v>
      </c>
      <c r="F811" s="10" t="str">
        <f t="shared" si="25"/>
        <v>採用候補</v>
      </c>
      <c r="G811" s="13" t="s">
        <v>2047</v>
      </c>
      <c r="H811" s="14">
        <v>956247</v>
      </c>
    </row>
    <row r="812" spans="1:8" ht="30" customHeight="1">
      <c r="A812" s="7">
        <v>806</v>
      </c>
      <c r="B812" s="9" t="s">
        <v>2048</v>
      </c>
      <c r="C812" s="9" t="s">
        <v>124</v>
      </c>
      <c r="D812" s="8">
        <v>40338</v>
      </c>
      <c r="E812" s="10" t="str">
        <f t="shared" si="24"/>
        <v>四段</v>
      </c>
      <c r="F812" s="10" t="str">
        <f t="shared" si="25"/>
        <v>採用候補</v>
      </c>
      <c r="G812" s="13" t="s">
        <v>2049</v>
      </c>
      <c r="H812" s="14">
        <v>955464</v>
      </c>
    </row>
    <row r="813" spans="1:8" ht="30" customHeight="1">
      <c r="A813" s="7">
        <v>807</v>
      </c>
      <c r="B813" s="9" t="s">
        <v>2050</v>
      </c>
      <c r="C813" s="9" t="s">
        <v>682</v>
      </c>
      <c r="D813" s="8">
        <v>41752</v>
      </c>
      <c r="E813" s="10" t="str">
        <f t="shared" si="24"/>
        <v>四段</v>
      </c>
      <c r="F813" s="10" t="str">
        <f t="shared" si="25"/>
        <v>採用候補</v>
      </c>
      <c r="G813" s="13" t="s">
        <v>2051</v>
      </c>
      <c r="H813" s="14">
        <v>955452</v>
      </c>
    </row>
    <row r="814" spans="1:8" ht="30" customHeight="1">
      <c r="A814" s="7">
        <v>808</v>
      </c>
      <c r="B814" s="9" t="s">
        <v>547</v>
      </c>
      <c r="C814" s="9" t="s">
        <v>17</v>
      </c>
      <c r="D814" s="8">
        <v>37150</v>
      </c>
      <c r="E814" s="10" t="str">
        <f t="shared" si="24"/>
        <v>四段</v>
      </c>
      <c r="F814" s="10" t="str">
        <f t="shared" si="25"/>
        <v>除外</v>
      </c>
      <c r="G814" s="13" t="s">
        <v>2052</v>
      </c>
      <c r="H814" s="14">
        <v>954849</v>
      </c>
    </row>
    <row r="815" spans="1:8" ht="30" customHeight="1">
      <c r="A815" s="7">
        <v>809</v>
      </c>
      <c r="B815" s="9" t="s">
        <v>240</v>
      </c>
      <c r="C815" s="9" t="s">
        <v>1538</v>
      </c>
      <c r="D815" s="8">
        <v>45336</v>
      </c>
      <c r="E815" s="10" t="str">
        <f t="shared" si="24"/>
        <v>四段</v>
      </c>
      <c r="F815" s="10" t="str">
        <f t="shared" si="25"/>
        <v>採用候補</v>
      </c>
      <c r="G815" s="13" t="s">
        <v>2053</v>
      </c>
      <c r="H815" s="14">
        <v>954180</v>
      </c>
    </row>
    <row r="816" spans="1:8" ht="30" customHeight="1">
      <c r="A816" s="7">
        <v>810</v>
      </c>
      <c r="B816" s="9" t="s">
        <v>2054</v>
      </c>
      <c r="C816" s="9" t="s">
        <v>708</v>
      </c>
      <c r="D816" s="8">
        <v>44183</v>
      </c>
      <c r="E816" s="10" t="str">
        <f t="shared" si="24"/>
        <v>四段</v>
      </c>
      <c r="F816" s="10" t="str">
        <f t="shared" si="25"/>
        <v>採用候補</v>
      </c>
      <c r="G816" s="13" t="s">
        <v>2055</v>
      </c>
      <c r="H816" s="14">
        <v>954032</v>
      </c>
    </row>
    <row r="817" spans="1:8" ht="30" customHeight="1">
      <c r="A817" s="7">
        <v>811</v>
      </c>
      <c r="B817" s="9" t="s">
        <v>2056</v>
      </c>
      <c r="C817" s="9" t="s">
        <v>1434</v>
      </c>
      <c r="D817" s="8">
        <v>41423</v>
      </c>
      <c r="E817" s="10" t="str">
        <f t="shared" si="24"/>
        <v>四段</v>
      </c>
      <c r="F817" s="10" t="str">
        <f t="shared" si="25"/>
        <v>採用候補</v>
      </c>
      <c r="G817" s="13" t="s">
        <v>2057</v>
      </c>
      <c r="H817" s="14">
        <v>953848</v>
      </c>
    </row>
    <row r="818" spans="1:8" ht="30" customHeight="1">
      <c r="A818" s="7">
        <v>812</v>
      </c>
      <c r="B818" s="9" t="s">
        <v>2058</v>
      </c>
      <c r="C818" s="9" t="s">
        <v>70</v>
      </c>
      <c r="D818" s="8">
        <v>42410</v>
      </c>
      <c r="E818" s="10" t="str">
        <f t="shared" si="24"/>
        <v>四段</v>
      </c>
      <c r="F818" s="10" t="str">
        <f t="shared" si="25"/>
        <v>採用候補</v>
      </c>
      <c r="G818" s="13" t="s">
        <v>2059</v>
      </c>
      <c r="H818" s="14">
        <v>951966</v>
      </c>
    </row>
    <row r="819" spans="1:8" ht="30" customHeight="1">
      <c r="A819" s="7">
        <v>813</v>
      </c>
      <c r="B819" s="9" t="s">
        <v>548</v>
      </c>
      <c r="C819" s="9" t="s">
        <v>461</v>
      </c>
      <c r="D819" s="8">
        <v>34869</v>
      </c>
      <c r="E819" s="10" t="str">
        <f t="shared" si="24"/>
        <v>四段</v>
      </c>
      <c r="F819" s="10" t="str">
        <f t="shared" si="25"/>
        <v>除外</v>
      </c>
      <c r="G819" s="13" t="s">
        <v>2060</v>
      </c>
      <c r="H819" s="14">
        <v>951547</v>
      </c>
    </row>
    <row r="820" spans="1:8" ht="30" customHeight="1">
      <c r="A820" s="7">
        <v>814</v>
      </c>
      <c r="B820" s="9" t="s">
        <v>549</v>
      </c>
      <c r="C820" s="9" t="s">
        <v>148</v>
      </c>
      <c r="D820" s="8">
        <v>38679</v>
      </c>
      <c r="E820" s="10" t="str">
        <f t="shared" si="24"/>
        <v>四段</v>
      </c>
      <c r="F820" s="10" t="str">
        <f t="shared" si="25"/>
        <v>除外</v>
      </c>
      <c r="G820" s="13" t="s">
        <v>2061</v>
      </c>
      <c r="H820" s="14">
        <v>951309</v>
      </c>
    </row>
    <row r="821" spans="1:8" ht="30" customHeight="1">
      <c r="A821" s="7">
        <v>815</v>
      </c>
      <c r="B821" s="9" t="s">
        <v>2062</v>
      </c>
      <c r="C821" s="9" t="s">
        <v>45</v>
      </c>
      <c r="D821" s="8">
        <v>41423</v>
      </c>
      <c r="E821" s="10" t="str">
        <f t="shared" si="24"/>
        <v>四段</v>
      </c>
      <c r="F821" s="10" t="str">
        <f t="shared" si="25"/>
        <v>採用候補</v>
      </c>
      <c r="G821" s="13" t="s">
        <v>2063</v>
      </c>
      <c r="H821" s="14">
        <v>951043</v>
      </c>
    </row>
    <row r="822" spans="1:8" ht="30" customHeight="1">
      <c r="A822" s="7">
        <v>816</v>
      </c>
      <c r="B822" s="9" t="s">
        <v>2064</v>
      </c>
      <c r="C822" s="9" t="s">
        <v>722</v>
      </c>
      <c r="D822" s="8">
        <v>45084</v>
      </c>
      <c r="E822" s="10" t="str">
        <f t="shared" si="24"/>
        <v>四段</v>
      </c>
      <c r="F822" s="10" t="str">
        <f t="shared" si="25"/>
        <v>採用候補</v>
      </c>
      <c r="G822" s="13" t="s">
        <v>2065</v>
      </c>
      <c r="H822" s="14">
        <v>950373</v>
      </c>
    </row>
    <row r="823" spans="1:8" ht="30" customHeight="1">
      <c r="A823" s="7">
        <v>817</v>
      </c>
      <c r="B823" s="9" t="s">
        <v>550</v>
      </c>
      <c r="C823" s="9" t="s">
        <v>551</v>
      </c>
      <c r="D823" s="8">
        <v>35936</v>
      </c>
      <c r="E823" s="10" t="str">
        <f t="shared" si="24"/>
        <v>四段</v>
      </c>
      <c r="F823" s="10" t="str">
        <f t="shared" si="25"/>
        <v>除外</v>
      </c>
      <c r="G823" s="13" t="s">
        <v>2066</v>
      </c>
      <c r="H823" s="14">
        <v>950306</v>
      </c>
    </row>
    <row r="824" spans="1:8" ht="30" customHeight="1">
      <c r="A824" s="7">
        <v>818</v>
      </c>
      <c r="B824" s="9" t="s">
        <v>552</v>
      </c>
      <c r="C824" s="9" t="s">
        <v>33</v>
      </c>
      <c r="D824" s="8">
        <v>39554</v>
      </c>
      <c r="E824" s="10" t="str">
        <f t="shared" si="24"/>
        <v>四段</v>
      </c>
      <c r="F824" s="10" t="str">
        <f t="shared" si="25"/>
        <v>除外</v>
      </c>
      <c r="G824" s="13" t="s">
        <v>2067</v>
      </c>
      <c r="H824" s="14">
        <v>950113</v>
      </c>
    </row>
    <row r="825" spans="1:8" ht="30" customHeight="1">
      <c r="A825" s="7">
        <v>819</v>
      </c>
      <c r="B825" s="9" t="s">
        <v>553</v>
      </c>
      <c r="C825" s="9" t="s">
        <v>29</v>
      </c>
      <c r="D825" s="8">
        <v>38987</v>
      </c>
      <c r="E825" s="10" t="str">
        <f t="shared" si="24"/>
        <v>四段</v>
      </c>
      <c r="F825" s="10" t="str">
        <f t="shared" si="25"/>
        <v>除外</v>
      </c>
      <c r="G825" s="13" t="s">
        <v>2068</v>
      </c>
      <c r="H825" s="14">
        <v>949070</v>
      </c>
    </row>
    <row r="826" spans="1:8" ht="30" customHeight="1">
      <c r="A826" s="7">
        <v>820</v>
      </c>
      <c r="B826" s="9" t="s">
        <v>554</v>
      </c>
      <c r="C826" s="9" t="s">
        <v>555</v>
      </c>
      <c r="D826" s="8">
        <v>36727</v>
      </c>
      <c r="E826" s="10" t="str">
        <f t="shared" si="24"/>
        <v>四段</v>
      </c>
      <c r="F826" s="10" t="str">
        <f t="shared" si="25"/>
        <v>除外</v>
      </c>
      <c r="G826" s="13" t="s">
        <v>2069</v>
      </c>
      <c r="H826" s="14">
        <v>948266</v>
      </c>
    </row>
    <row r="827" spans="1:8" ht="30" customHeight="1">
      <c r="A827" s="7">
        <v>821</v>
      </c>
      <c r="B827" s="9" t="s">
        <v>2070</v>
      </c>
      <c r="C827" s="9" t="s">
        <v>1460</v>
      </c>
      <c r="D827" s="8">
        <v>45721</v>
      </c>
      <c r="E827" s="10" t="str">
        <f t="shared" si="24"/>
        <v>四段</v>
      </c>
      <c r="F827" s="10" t="str">
        <f t="shared" si="25"/>
        <v>採用候補</v>
      </c>
      <c r="G827" s="13" t="s">
        <v>2071</v>
      </c>
      <c r="H827" s="14">
        <v>947326</v>
      </c>
    </row>
    <row r="828" spans="1:8" ht="30" customHeight="1">
      <c r="A828" s="7">
        <v>822</v>
      </c>
      <c r="B828" s="9" t="s">
        <v>2072</v>
      </c>
      <c r="C828" s="9" t="s">
        <v>679</v>
      </c>
      <c r="D828" s="8">
        <v>41234</v>
      </c>
      <c r="E828" s="10" t="str">
        <f t="shared" si="24"/>
        <v>四段</v>
      </c>
      <c r="F828" s="10" t="str">
        <f t="shared" si="25"/>
        <v>採用候補</v>
      </c>
      <c r="G828" s="13" t="s">
        <v>2073</v>
      </c>
      <c r="H828" s="14">
        <v>945356</v>
      </c>
    </row>
    <row r="829" spans="1:8" ht="30" customHeight="1">
      <c r="A829" s="7">
        <v>823</v>
      </c>
      <c r="B829" s="9" t="s">
        <v>2074</v>
      </c>
      <c r="C829" s="9" t="s">
        <v>157</v>
      </c>
      <c r="D829" s="8">
        <v>40569</v>
      </c>
      <c r="E829" s="10" t="str">
        <f t="shared" si="24"/>
        <v>四段</v>
      </c>
      <c r="F829" s="10" t="str">
        <f t="shared" si="25"/>
        <v>採用候補</v>
      </c>
      <c r="G829" s="13" t="s">
        <v>2075</v>
      </c>
      <c r="H829" s="14">
        <v>944365</v>
      </c>
    </row>
    <row r="830" spans="1:8" ht="30" customHeight="1">
      <c r="A830" s="7">
        <v>824</v>
      </c>
      <c r="B830" s="9" t="s">
        <v>556</v>
      </c>
      <c r="C830" s="9" t="s">
        <v>70</v>
      </c>
      <c r="D830" s="8">
        <v>38224</v>
      </c>
      <c r="E830" s="10" t="str">
        <f t="shared" si="24"/>
        <v>四段</v>
      </c>
      <c r="F830" s="10" t="str">
        <f t="shared" si="25"/>
        <v>除外</v>
      </c>
      <c r="G830" s="13" t="s">
        <v>2076</v>
      </c>
      <c r="H830" s="14">
        <v>943482</v>
      </c>
    </row>
    <row r="831" spans="1:8" ht="30" customHeight="1">
      <c r="A831" s="7">
        <v>825</v>
      </c>
      <c r="B831" s="9" t="s">
        <v>2077</v>
      </c>
      <c r="C831" s="9" t="s">
        <v>698</v>
      </c>
      <c r="D831" s="8">
        <v>41927</v>
      </c>
      <c r="E831" s="10" t="str">
        <f t="shared" si="24"/>
        <v>四段</v>
      </c>
      <c r="F831" s="10" t="str">
        <f t="shared" si="25"/>
        <v>採用候補</v>
      </c>
      <c r="G831" s="13" t="s">
        <v>2078</v>
      </c>
      <c r="H831" s="14">
        <v>943225</v>
      </c>
    </row>
    <row r="832" spans="1:8" ht="30" customHeight="1">
      <c r="A832" s="7">
        <v>826</v>
      </c>
      <c r="B832" s="9" t="s">
        <v>2079</v>
      </c>
      <c r="C832" s="9" t="s">
        <v>1185</v>
      </c>
      <c r="D832" s="8">
        <v>41388</v>
      </c>
      <c r="E832" s="10" t="str">
        <f t="shared" si="24"/>
        <v>四段</v>
      </c>
      <c r="F832" s="10" t="str">
        <f t="shared" si="25"/>
        <v>採用候補</v>
      </c>
      <c r="G832" s="13" t="s">
        <v>2080</v>
      </c>
      <c r="H832" s="14">
        <v>943039</v>
      </c>
    </row>
    <row r="833" spans="1:8" ht="30" customHeight="1">
      <c r="A833" s="7">
        <v>827</v>
      </c>
      <c r="B833" s="9" t="s">
        <v>557</v>
      </c>
      <c r="C833" s="9" t="s">
        <v>35</v>
      </c>
      <c r="D833" s="8">
        <v>37370</v>
      </c>
      <c r="E833" s="10" t="str">
        <f t="shared" si="24"/>
        <v>四段</v>
      </c>
      <c r="F833" s="10" t="str">
        <f t="shared" si="25"/>
        <v>除外</v>
      </c>
      <c r="G833" s="13" t="s">
        <v>2081</v>
      </c>
      <c r="H833" s="14">
        <v>942675</v>
      </c>
    </row>
    <row r="834" spans="1:8" ht="30" customHeight="1">
      <c r="A834" s="7">
        <v>828</v>
      </c>
      <c r="B834" s="9" t="s">
        <v>558</v>
      </c>
      <c r="C834" s="9" t="s">
        <v>559</v>
      </c>
      <c r="D834" s="8">
        <v>36908</v>
      </c>
      <c r="E834" s="10" t="str">
        <f t="shared" si="24"/>
        <v>四段</v>
      </c>
      <c r="F834" s="10" t="str">
        <f t="shared" si="25"/>
        <v>除外</v>
      </c>
      <c r="G834" s="13" t="s">
        <v>2082</v>
      </c>
      <c r="H834" s="14">
        <v>942192</v>
      </c>
    </row>
    <row r="835" spans="1:8" ht="30" customHeight="1">
      <c r="A835" s="7">
        <v>829</v>
      </c>
      <c r="B835" s="9" t="s">
        <v>2083</v>
      </c>
      <c r="C835" s="9" t="s">
        <v>758</v>
      </c>
      <c r="D835" s="8">
        <v>42746</v>
      </c>
      <c r="E835" s="10" t="str">
        <f t="shared" si="24"/>
        <v>四段</v>
      </c>
      <c r="F835" s="10" t="str">
        <f t="shared" si="25"/>
        <v>採用候補</v>
      </c>
      <c r="G835" s="13" t="s">
        <v>2084</v>
      </c>
      <c r="H835" s="14">
        <v>941700</v>
      </c>
    </row>
    <row r="836" spans="1:8" ht="30" customHeight="1">
      <c r="A836" s="7">
        <v>830</v>
      </c>
      <c r="B836" s="9" t="s">
        <v>560</v>
      </c>
      <c r="C836" s="9" t="s">
        <v>227</v>
      </c>
      <c r="D836" s="8">
        <v>33373</v>
      </c>
      <c r="E836" s="10" t="str">
        <f t="shared" si="24"/>
        <v>四段</v>
      </c>
      <c r="F836" s="10" t="str">
        <f t="shared" si="25"/>
        <v>除外</v>
      </c>
      <c r="G836" s="13" t="s">
        <v>2085</v>
      </c>
      <c r="H836" s="14">
        <v>941305</v>
      </c>
    </row>
    <row r="837" spans="1:8" ht="30" customHeight="1">
      <c r="A837" s="7">
        <v>831</v>
      </c>
      <c r="B837" s="9" t="s">
        <v>561</v>
      </c>
      <c r="C837" s="9" t="s">
        <v>562</v>
      </c>
      <c r="D837" s="8">
        <v>35266</v>
      </c>
      <c r="E837" s="10" t="str">
        <f t="shared" si="24"/>
        <v>四段</v>
      </c>
      <c r="F837" s="10" t="str">
        <f t="shared" si="25"/>
        <v>除外</v>
      </c>
      <c r="G837" s="13" t="s">
        <v>2086</v>
      </c>
      <c r="H837" s="14">
        <v>940879</v>
      </c>
    </row>
    <row r="838" spans="1:8" ht="30" customHeight="1">
      <c r="A838" s="7">
        <v>832</v>
      </c>
      <c r="B838" s="9" t="s">
        <v>2087</v>
      </c>
      <c r="C838" s="9" t="s">
        <v>58</v>
      </c>
      <c r="D838" s="8">
        <v>41934</v>
      </c>
      <c r="E838" s="10" t="str">
        <f t="shared" si="24"/>
        <v>四段</v>
      </c>
      <c r="F838" s="10" t="str">
        <f t="shared" si="25"/>
        <v>採用候補</v>
      </c>
      <c r="G838" s="13" t="s">
        <v>2088</v>
      </c>
      <c r="H838" s="14">
        <v>939802</v>
      </c>
    </row>
    <row r="839" spans="1:8" ht="30" customHeight="1">
      <c r="A839" s="7">
        <v>833</v>
      </c>
      <c r="B839" s="9" t="s">
        <v>2089</v>
      </c>
      <c r="C839" s="9" t="s">
        <v>1438</v>
      </c>
      <c r="D839" s="8">
        <v>45266</v>
      </c>
      <c r="E839" s="10" t="str">
        <f t="shared" ref="E839:E902" si="26">CHOOSE(INT((A839-1)/100)+1,"5級","4級","3級","2級","1級","初段","二段","三段","四段","五段")</f>
        <v>四段</v>
      </c>
      <c r="F839" s="10" t="str">
        <f t="shared" ref="F839:F902" si="27">IF(D839&gt;=DATE(2010,1,1),"採用候補","除外")</f>
        <v>採用候補</v>
      </c>
      <c r="G839" s="13" t="s">
        <v>2090</v>
      </c>
      <c r="H839" s="14">
        <v>939640</v>
      </c>
    </row>
    <row r="840" spans="1:8" ht="30" customHeight="1">
      <c r="A840" s="7">
        <v>834</v>
      </c>
      <c r="B840" s="9" t="s">
        <v>238</v>
      </c>
      <c r="C840" s="9" t="s">
        <v>2091</v>
      </c>
      <c r="D840" s="8">
        <v>40590</v>
      </c>
      <c r="E840" s="10" t="str">
        <f t="shared" si="26"/>
        <v>四段</v>
      </c>
      <c r="F840" s="10" t="str">
        <f t="shared" si="27"/>
        <v>採用候補</v>
      </c>
      <c r="G840" s="13" t="s">
        <v>2092</v>
      </c>
      <c r="H840" s="14">
        <v>939481</v>
      </c>
    </row>
    <row r="841" spans="1:8" ht="30" customHeight="1">
      <c r="A841" s="7">
        <v>835</v>
      </c>
      <c r="B841" s="9" t="s">
        <v>563</v>
      </c>
      <c r="C841" s="9" t="s">
        <v>50</v>
      </c>
      <c r="D841" s="8">
        <v>38119</v>
      </c>
      <c r="E841" s="10" t="str">
        <f t="shared" si="26"/>
        <v>四段</v>
      </c>
      <c r="F841" s="10" t="str">
        <f t="shared" si="27"/>
        <v>除外</v>
      </c>
      <c r="G841" s="13" t="s">
        <v>2093</v>
      </c>
      <c r="H841" s="14">
        <v>939137</v>
      </c>
    </row>
    <row r="842" spans="1:8" ht="30" customHeight="1">
      <c r="A842" s="7">
        <v>836</v>
      </c>
      <c r="B842" s="9" t="s">
        <v>564</v>
      </c>
      <c r="C842" s="9" t="s">
        <v>19</v>
      </c>
      <c r="D842" s="8">
        <v>39155</v>
      </c>
      <c r="E842" s="10" t="str">
        <f t="shared" si="26"/>
        <v>四段</v>
      </c>
      <c r="F842" s="10" t="str">
        <f t="shared" si="27"/>
        <v>除外</v>
      </c>
      <c r="G842" s="13" t="s">
        <v>2094</v>
      </c>
      <c r="H842" s="14">
        <v>938913</v>
      </c>
    </row>
    <row r="843" spans="1:8" ht="30" customHeight="1">
      <c r="A843" s="7">
        <v>837</v>
      </c>
      <c r="B843" s="9" t="s">
        <v>565</v>
      </c>
      <c r="C843" s="9" t="s">
        <v>19</v>
      </c>
      <c r="D843" s="8">
        <v>34921</v>
      </c>
      <c r="E843" s="10" t="str">
        <f t="shared" si="26"/>
        <v>四段</v>
      </c>
      <c r="F843" s="10" t="str">
        <f t="shared" si="27"/>
        <v>除外</v>
      </c>
      <c r="G843" s="13" t="s">
        <v>2095</v>
      </c>
      <c r="H843" s="14">
        <v>938514</v>
      </c>
    </row>
    <row r="844" spans="1:8" ht="30" customHeight="1">
      <c r="A844" s="7">
        <v>838</v>
      </c>
      <c r="B844" s="9" t="s">
        <v>2096</v>
      </c>
      <c r="C844" s="9" t="s">
        <v>708</v>
      </c>
      <c r="D844" s="8">
        <v>44216</v>
      </c>
      <c r="E844" s="10" t="str">
        <f t="shared" si="26"/>
        <v>四段</v>
      </c>
      <c r="F844" s="10" t="str">
        <f t="shared" si="27"/>
        <v>採用候補</v>
      </c>
      <c r="G844" s="13" t="s">
        <v>2097</v>
      </c>
      <c r="H844" s="14">
        <v>937310</v>
      </c>
    </row>
    <row r="845" spans="1:8" ht="30" customHeight="1">
      <c r="A845" s="7">
        <v>839</v>
      </c>
      <c r="B845" s="9" t="s">
        <v>566</v>
      </c>
      <c r="C845" s="9" t="s">
        <v>261</v>
      </c>
      <c r="D845" s="8">
        <v>37525</v>
      </c>
      <c r="E845" s="10" t="str">
        <f t="shared" si="26"/>
        <v>四段</v>
      </c>
      <c r="F845" s="10" t="str">
        <f t="shared" si="27"/>
        <v>除外</v>
      </c>
      <c r="G845" s="13" t="s">
        <v>2098</v>
      </c>
      <c r="H845" s="14">
        <v>935728</v>
      </c>
    </row>
    <row r="846" spans="1:8" ht="30" customHeight="1">
      <c r="A846" s="7">
        <v>840</v>
      </c>
      <c r="B846" s="9" t="s">
        <v>567</v>
      </c>
      <c r="C846" s="9" t="s">
        <v>568</v>
      </c>
      <c r="D846" s="8">
        <v>40107</v>
      </c>
      <c r="E846" s="10" t="str">
        <f t="shared" si="26"/>
        <v>四段</v>
      </c>
      <c r="F846" s="10" t="str">
        <f t="shared" si="27"/>
        <v>除外</v>
      </c>
      <c r="G846" s="13" t="s">
        <v>2099</v>
      </c>
      <c r="H846" s="14">
        <v>934792</v>
      </c>
    </row>
    <row r="847" spans="1:8" ht="30" customHeight="1">
      <c r="A847" s="7">
        <v>841</v>
      </c>
      <c r="B847" s="9" t="s">
        <v>569</v>
      </c>
      <c r="C847" s="9" t="s">
        <v>351</v>
      </c>
      <c r="D847" s="8">
        <v>32649</v>
      </c>
      <c r="E847" s="10" t="str">
        <f t="shared" si="26"/>
        <v>四段</v>
      </c>
      <c r="F847" s="10" t="str">
        <f t="shared" si="27"/>
        <v>除外</v>
      </c>
      <c r="G847" s="13" t="s">
        <v>2100</v>
      </c>
      <c r="H847" s="14">
        <v>933746</v>
      </c>
    </row>
    <row r="848" spans="1:8" ht="30" customHeight="1">
      <c r="A848" s="7">
        <v>842</v>
      </c>
      <c r="B848" s="9" t="s">
        <v>2101</v>
      </c>
      <c r="C848" s="9" t="s">
        <v>363</v>
      </c>
      <c r="D848" s="8">
        <v>40849</v>
      </c>
      <c r="E848" s="10" t="str">
        <f t="shared" si="26"/>
        <v>四段</v>
      </c>
      <c r="F848" s="10" t="str">
        <f t="shared" si="27"/>
        <v>採用候補</v>
      </c>
      <c r="G848" s="13" t="s">
        <v>2102</v>
      </c>
      <c r="H848" s="14">
        <v>932589</v>
      </c>
    </row>
    <row r="849" spans="1:8" ht="30" customHeight="1">
      <c r="A849" s="7">
        <v>843</v>
      </c>
      <c r="B849" s="9" t="s">
        <v>2103</v>
      </c>
      <c r="C849" s="9" t="s">
        <v>2104</v>
      </c>
      <c r="D849" s="8">
        <v>41906</v>
      </c>
      <c r="E849" s="10" t="str">
        <f t="shared" si="26"/>
        <v>四段</v>
      </c>
      <c r="F849" s="10" t="str">
        <f t="shared" si="27"/>
        <v>採用候補</v>
      </c>
      <c r="G849" s="13" t="s">
        <v>2105</v>
      </c>
      <c r="H849" s="14">
        <v>932234</v>
      </c>
    </row>
    <row r="850" spans="1:8" ht="30" customHeight="1">
      <c r="A850" s="7">
        <v>844</v>
      </c>
      <c r="B850" s="9" t="s">
        <v>2106</v>
      </c>
      <c r="C850" s="9" t="s">
        <v>851</v>
      </c>
      <c r="D850" s="8">
        <v>42704</v>
      </c>
      <c r="E850" s="10" t="str">
        <f t="shared" si="26"/>
        <v>四段</v>
      </c>
      <c r="F850" s="10" t="str">
        <f t="shared" si="27"/>
        <v>採用候補</v>
      </c>
      <c r="G850" s="13" t="s">
        <v>2107</v>
      </c>
      <c r="H850" s="14">
        <v>931563</v>
      </c>
    </row>
    <row r="851" spans="1:8" ht="30" customHeight="1">
      <c r="A851" s="7">
        <v>845</v>
      </c>
      <c r="B851" s="9" t="s">
        <v>2108</v>
      </c>
      <c r="C851" s="9" t="s">
        <v>722</v>
      </c>
      <c r="D851" s="8">
        <v>43740</v>
      </c>
      <c r="E851" s="10" t="str">
        <f t="shared" si="26"/>
        <v>四段</v>
      </c>
      <c r="F851" s="10" t="str">
        <f t="shared" si="27"/>
        <v>採用候補</v>
      </c>
      <c r="G851" s="13" t="s">
        <v>2109</v>
      </c>
      <c r="H851" s="14">
        <v>931361</v>
      </c>
    </row>
    <row r="852" spans="1:8" ht="30" customHeight="1">
      <c r="A852" s="7">
        <v>846</v>
      </c>
      <c r="B852" s="9" t="s">
        <v>2110</v>
      </c>
      <c r="C852" s="9" t="s">
        <v>1752</v>
      </c>
      <c r="D852" s="8">
        <v>42816</v>
      </c>
      <c r="E852" s="10" t="str">
        <f t="shared" si="26"/>
        <v>四段</v>
      </c>
      <c r="F852" s="10" t="str">
        <f t="shared" si="27"/>
        <v>採用候補</v>
      </c>
      <c r="G852" s="13" t="s">
        <v>2111</v>
      </c>
      <c r="H852" s="14">
        <v>931196</v>
      </c>
    </row>
    <row r="853" spans="1:8" ht="30" customHeight="1">
      <c r="A853" s="7">
        <v>847</v>
      </c>
      <c r="B853" s="9" t="s">
        <v>2112</v>
      </c>
      <c r="C853" s="9" t="s">
        <v>1089</v>
      </c>
      <c r="D853" s="8">
        <v>41010</v>
      </c>
      <c r="E853" s="10" t="str">
        <f t="shared" si="26"/>
        <v>四段</v>
      </c>
      <c r="F853" s="10" t="str">
        <f t="shared" si="27"/>
        <v>採用候補</v>
      </c>
      <c r="G853" s="13" t="s">
        <v>2113</v>
      </c>
      <c r="H853" s="14">
        <v>930449</v>
      </c>
    </row>
    <row r="854" spans="1:8" ht="30" customHeight="1">
      <c r="A854" s="7">
        <v>848</v>
      </c>
      <c r="B854" s="9" t="s">
        <v>2114</v>
      </c>
      <c r="C854" s="9" t="s">
        <v>12</v>
      </c>
      <c r="D854" s="8">
        <v>40968</v>
      </c>
      <c r="E854" s="10" t="str">
        <f t="shared" si="26"/>
        <v>四段</v>
      </c>
      <c r="F854" s="10" t="str">
        <f t="shared" si="27"/>
        <v>採用候補</v>
      </c>
      <c r="G854" s="13" t="s">
        <v>2115</v>
      </c>
      <c r="H854" s="14">
        <v>930028</v>
      </c>
    </row>
    <row r="855" spans="1:8" ht="42" customHeight="1">
      <c r="A855" s="7">
        <v>849</v>
      </c>
      <c r="B855" s="9" t="s">
        <v>2116</v>
      </c>
      <c r="C855" s="9" t="s">
        <v>787</v>
      </c>
      <c r="D855" s="8">
        <v>45625</v>
      </c>
      <c r="E855" s="10" t="str">
        <f t="shared" si="26"/>
        <v>四段</v>
      </c>
      <c r="F855" s="10" t="str">
        <f t="shared" si="27"/>
        <v>採用候補</v>
      </c>
      <c r="G855" s="13" t="s">
        <v>2117</v>
      </c>
      <c r="H855" s="14">
        <v>930006</v>
      </c>
    </row>
    <row r="856" spans="1:8" ht="30" customHeight="1">
      <c r="A856" s="7">
        <v>850</v>
      </c>
      <c r="B856" s="9" t="s">
        <v>570</v>
      </c>
      <c r="C856" s="9" t="s">
        <v>443</v>
      </c>
      <c r="D856" s="8">
        <v>38077</v>
      </c>
      <c r="E856" s="10" t="str">
        <f t="shared" si="26"/>
        <v>四段</v>
      </c>
      <c r="F856" s="10" t="str">
        <f t="shared" si="27"/>
        <v>除外</v>
      </c>
      <c r="G856" s="13" t="s">
        <v>2118</v>
      </c>
      <c r="H856" s="14">
        <v>929471</v>
      </c>
    </row>
    <row r="857" spans="1:8" ht="30" customHeight="1">
      <c r="A857" s="7">
        <v>851</v>
      </c>
      <c r="B857" s="9" t="s">
        <v>1965</v>
      </c>
      <c r="C857" s="9" t="s">
        <v>1965</v>
      </c>
      <c r="D857" s="8">
        <v>40863</v>
      </c>
      <c r="E857" s="10" t="str">
        <f t="shared" si="26"/>
        <v>四段</v>
      </c>
      <c r="F857" s="10" t="str">
        <f t="shared" si="27"/>
        <v>採用候補</v>
      </c>
      <c r="G857" s="13" t="s">
        <v>2119</v>
      </c>
      <c r="H857" s="14">
        <v>929411</v>
      </c>
    </row>
    <row r="858" spans="1:8" ht="30" customHeight="1">
      <c r="A858" s="7">
        <v>852</v>
      </c>
      <c r="B858" s="9" t="s">
        <v>571</v>
      </c>
      <c r="C858" s="9" t="s">
        <v>115</v>
      </c>
      <c r="D858" s="8">
        <v>33161</v>
      </c>
      <c r="E858" s="10" t="str">
        <f t="shared" si="26"/>
        <v>四段</v>
      </c>
      <c r="F858" s="10" t="str">
        <f t="shared" si="27"/>
        <v>除外</v>
      </c>
      <c r="G858" s="13" t="s">
        <v>2120</v>
      </c>
      <c r="H858" s="14">
        <v>928744</v>
      </c>
    </row>
    <row r="859" spans="1:8" ht="30" customHeight="1">
      <c r="A859" s="7">
        <v>853</v>
      </c>
      <c r="B859" s="9" t="s">
        <v>572</v>
      </c>
      <c r="C859" s="9" t="s">
        <v>100</v>
      </c>
      <c r="D859" s="8">
        <v>38322</v>
      </c>
      <c r="E859" s="10" t="str">
        <f t="shared" si="26"/>
        <v>四段</v>
      </c>
      <c r="F859" s="10" t="str">
        <f t="shared" si="27"/>
        <v>除外</v>
      </c>
      <c r="G859" s="13" t="s">
        <v>2121</v>
      </c>
      <c r="H859" s="14">
        <v>926627</v>
      </c>
    </row>
    <row r="860" spans="1:8" ht="30" customHeight="1">
      <c r="A860" s="7">
        <v>854</v>
      </c>
      <c r="B860" s="9" t="s">
        <v>2122</v>
      </c>
      <c r="C860" s="9" t="s">
        <v>682</v>
      </c>
      <c r="D860" s="8">
        <v>45525</v>
      </c>
      <c r="E860" s="10" t="str">
        <f t="shared" si="26"/>
        <v>四段</v>
      </c>
      <c r="F860" s="10" t="str">
        <f t="shared" si="27"/>
        <v>採用候補</v>
      </c>
      <c r="G860" s="13" t="s">
        <v>2123</v>
      </c>
      <c r="H860" s="14">
        <v>926117</v>
      </c>
    </row>
    <row r="861" spans="1:8" ht="30" customHeight="1">
      <c r="A861" s="7">
        <v>855</v>
      </c>
      <c r="B861" s="9" t="s">
        <v>2124</v>
      </c>
      <c r="C861" s="9" t="s">
        <v>698</v>
      </c>
      <c r="D861" s="8">
        <v>41395</v>
      </c>
      <c r="E861" s="10" t="str">
        <f t="shared" si="26"/>
        <v>四段</v>
      </c>
      <c r="F861" s="10" t="str">
        <f t="shared" si="27"/>
        <v>採用候補</v>
      </c>
      <c r="G861" s="13" t="s">
        <v>2125</v>
      </c>
      <c r="H861" s="14">
        <v>925622</v>
      </c>
    </row>
    <row r="862" spans="1:8" ht="30" customHeight="1">
      <c r="A862" s="7">
        <v>856</v>
      </c>
      <c r="B862" s="9" t="s">
        <v>2126</v>
      </c>
      <c r="C862" s="9" t="s">
        <v>1334</v>
      </c>
      <c r="D862" s="8">
        <v>41612</v>
      </c>
      <c r="E862" s="10" t="str">
        <f t="shared" si="26"/>
        <v>四段</v>
      </c>
      <c r="F862" s="10" t="str">
        <f t="shared" si="27"/>
        <v>採用候補</v>
      </c>
      <c r="G862" s="13" t="s">
        <v>2127</v>
      </c>
      <c r="H862" s="14">
        <v>925460</v>
      </c>
    </row>
    <row r="863" spans="1:8" ht="30" customHeight="1">
      <c r="A863" s="7">
        <v>857</v>
      </c>
      <c r="B863" s="9" t="s">
        <v>2128</v>
      </c>
      <c r="C863" s="9" t="s">
        <v>1308</v>
      </c>
      <c r="D863" s="8">
        <v>45399</v>
      </c>
      <c r="E863" s="10" t="str">
        <f t="shared" si="26"/>
        <v>四段</v>
      </c>
      <c r="F863" s="10" t="str">
        <f t="shared" si="27"/>
        <v>採用候補</v>
      </c>
      <c r="G863" s="13" t="s">
        <v>2129</v>
      </c>
      <c r="H863" s="14">
        <v>923926</v>
      </c>
    </row>
    <row r="864" spans="1:8" ht="30" customHeight="1">
      <c r="A864" s="7">
        <v>858</v>
      </c>
      <c r="B864" s="9" t="s">
        <v>573</v>
      </c>
      <c r="C864" s="9" t="s">
        <v>153</v>
      </c>
      <c r="D864" s="8">
        <v>36551</v>
      </c>
      <c r="E864" s="10" t="str">
        <f t="shared" si="26"/>
        <v>四段</v>
      </c>
      <c r="F864" s="10" t="str">
        <f t="shared" si="27"/>
        <v>除外</v>
      </c>
      <c r="G864" s="13" t="s">
        <v>2130</v>
      </c>
      <c r="H864" s="14">
        <v>923572</v>
      </c>
    </row>
    <row r="865" spans="1:8" ht="30" customHeight="1">
      <c r="A865" s="7">
        <v>859</v>
      </c>
      <c r="B865" s="9" t="s">
        <v>1229</v>
      </c>
      <c r="C865" s="9" t="s">
        <v>2131</v>
      </c>
      <c r="D865" s="8">
        <v>43516</v>
      </c>
      <c r="E865" s="10" t="str">
        <f t="shared" si="26"/>
        <v>四段</v>
      </c>
      <c r="F865" s="10" t="str">
        <f t="shared" si="27"/>
        <v>採用候補</v>
      </c>
      <c r="G865" s="13" t="s">
        <v>2132</v>
      </c>
      <c r="H865" s="14">
        <v>922927</v>
      </c>
    </row>
    <row r="866" spans="1:8" ht="30" customHeight="1">
      <c r="A866" s="7">
        <v>860</v>
      </c>
      <c r="B866" s="9" t="s">
        <v>574</v>
      </c>
      <c r="C866" s="9" t="s">
        <v>72</v>
      </c>
      <c r="D866" s="8">
        <v>38274</v>
      </c>
      <c r="E866" s="10" t="str">
        <f t="shared" si="26"/>
        <v>四段</v>
      </c>
      <c r="F866" s="10" t="str">
        <f t="shared" si="27"/>
        <v>除外</v>
      </c>
      <c r="G866" s="13" t="s">
        <v>2133</v>
      </c>
      <c r="H866" s="14">
        <v>922766</v>
      </c>
    </row>
    <row r="867" spans="1:8" ht="30" customHeight="1">
      <c r="A867" s="7">
        <v>861</v>
      </c>
      <c r="B867" s="9" t="s">
        <v>575</v>
      </c>
      <c r="C867" s="9" t="s">
        <v>253</v>
      </c>
      <c r="D867" s="8">
        <v>33728</v>
      </c>
      <c r="E867" s="10" t="str">
        <f t="shared" si="26"/>
        <v>四段</v>
      </c>
      <c r="F867" s="10" t="str">
        <f t="shared" si="27"/>
        <v>除外</v>
      </c>
      <c r="G867" s="13" t="s">
        <v>2134</v>
      </c>
      <c r="H867" s="14">
        <v>921381</v>
      </c>
    </row>
    <row r="868" spans="1:8" ht="30" customHeight="1">
      <c r="A868" s="7">
        <v>862</v>
      </c>
      <c r="B868" s="9" t="s">
        <v>576</v>
      </c>
      <c r="C868" s="9" t="s">
        <v>29</v>
      </c>
      <c r="D868" s="8">
        <v>25569</v>
      </c>
      <c r="E868" s="10" t="str">
        <f t="shared" si="26"/>
        <v>四段</v>
      </c>
      <c r="F868" s="10" t="str">
        <f t="shared" si="27"/>
        <v>除外</v>
      </c>
      <c r="G868" s="13" t="s">
        <v>2135</v>
      </c>
      <c r="H868" s="14">
        <v>921147</v>
      </c>
    </row>
    <row r="869" spans="1:8" ht="30" customHeight="1">
      <c r="A869" s="7">
        <v>863</v>
      </c>
      <c r="B869" s="9" t="s">
        <v>577</v>
      </c>
      <c r="C869" s="9" t="s">
        <v>391</v>
      </c>
      <c r="D869" s="8">
        <v>39155</v>
      </c>
      <c r="E869" s="10" t="str">
        <f t="shared" si="26"/>
        <v>四段</v>
      </c>
      <c r="F869" s="10" t="str">
        <f t="shared" si="27"/>
        <v>除外</v>
      </c>
      <c r="G869" s="13" t="s">
        <v>2136</v>
      </c>
      <c r="H869" s="14">
        <v>920253</v>
      </c>
    </row>
    <row r="870" spans="1:8" ht="30" customHeight="1">
      <c r="A870" s="7">
        <v>864</v>
      </c>
      <c r="B870" s="9" t="s">
        <v>578</v>
      </c>
      <c r="C870" s="9" t="s">
        <v>579</v>
      </c>
      <c r="D870" s="8">
        <v>36502</v>
      </c>
      <c r="E870" s="10" t="str">
        <f t="shared" si="26"/>
        <v>四段</v>
      </c>
      <c r="F870" s="10" t="str">
        <f t="shared" si="27"/>
        <v>除外</v>
      </c>
      <c r="G870" s="13" t="s">
        <v>2137</v>
      </c>
      <c r="H870" s="14">
        <v>919744</v>
      </c>
    </row>
    <row r="871" spans="1:8" ht="42" customHeight="1">
      <c r="A871" s="7">
        <v>865</v>
      </c>
      <c r="B871" s="9" t="s">
        <v>2138</v>
      </c>
      <c r="C871" s="9" t="s">
        <v>806</v>
      </c>
      <c r="D871" s="8">
        <v>41983</v>
      </c>
      <c r="E871" s="10" t="str">
        <f t="shared" si="26"/>
        <v>四段</v>
      </c>
      <c r="F871" s="10" t="str">
        <f t="shared" si="27"/>
        <v>採用候補</v>
      </c>
      <c r="G871" s="13" t="s">
        <v>2139</v>
      </c>
      <c r="H871" s="14">
        <v>919620</v>
      </c>
    </row>
    <row r="872" spans="1:8" ht="30" customHeight="1">
      <c r="A872" s="7">
        <v>866</v>
      </c>
      <c r="B872" s="9" t="s">
        <v>2140</v>
      </c>
      <c r="C872" s="9" t="s">
        <v>12</v>
      </c>
      <c r="D872" s="8">
        <v>40863</v>
      </c>
      <c r="E872" s="10" t="str">
        <f t="shared" si="26"/>
        <v>四段</v>
      </c>
      <c r="F872" s="10" t="str">
        <f t="shared" si="27"/>
        <v>採用候補</v>
      </c>
      <c r="G872" s="13" t="s">
        <v>2141</v>
      </c>
      <c r="H872" s="14">
        <v>918814</v>
      </c>
    </row>
    <row r="873" spans="1:8" ht="30" customHeight="1">
      <c r="A873" s="7">
        <v>867</v>
      </c>
      <c r="B873" s="9" t="s">
        <v>2142</v>
      </c>
      <c r="C873" s="9" t="s">
        <v>543</v>
      </c>
      <c r="D873" s="8">
        <v>40331</v>
      </c>
      <c r="E873" s="10" t="str">
        <f t="shared" si="26"/>
        <v>四段</v>
      </c>
      <c r="F873" s="10" t="str">
        <f t="shared" si="27"/>
        <v>採用候補</v>
      </c>
      <c r="G873" s="13" t="s">
        <v>2143</v>
      </c>
      <c r="H873" s="14">
        <v>918685</v>
      </c>
    </row>
    <row r="874" spans="1:8" ht="30" customHeight="1">
      <c r="A874" s="7">
        <v>868</v>
      </c>
      <c r="B874" s="9" t="s">
        <v>580</v>
      </c>
      <c r="C874" s="9" t="s">
        <v>155</v>
      </c>
      <c r="D874" s="8">
        <v>39967</v>
      </c>
      <c r="E874" s="10" t="str">
        <f t="shared" si="26"/>
        <v>四段</v>
      </c>
      <c r="F874" s="10" t="str">
        <f t="shared" si="27"/>
        <v>除外</v>
      </c>
      <c r="G874" s="13" t="s">
        <v>2144</v>
      </c>
      <c r="H874" s="14">
        <v>916873</v>
      </c>
    </row>
    <row r="875" spans="1:8" ht="30" customHeight="1">
      <c r="A875" s="7">
        <v>869</v>
      </c>
      <c r="B875" s="9" t="s">
        <v>2145</v>
      </c>
      <c r="C875" s="9" t="s">
        <v>2146</v>
      </c>
      <c r="D875" s="8">
        <v>44552</v>
      </c>
      <c r="E875" s="10" t="str">
        <f t="shared" si="26"/>
        <v>四段</v>
      </c>
      <c r="F875" s="10" t="str">
        <f t="shared" si="27"/>
        <v>採用候補</v>
      </c>
      <c r="G875" s="13" t="s">
        <v>2147</v>
      </c>
      <c r="H875" s="14">
        <v>916857</v>
      </c>
    </row>
    <row r="876" spans="1:8" ht="30" customHeight="1">
      <c r="A876" s="7">
        <v>870</v>
      </c>
      <c r="B876" s="9" t="s">
        <v>1891</v>
      </c>
      <c r="C876" s="9" t="s">
        <v>1052</v>
      </c>
      <c r="D876" s="8">
        <v>42221</v>
      </c>
      <c r="E876" s="10" t="str">
        <f t="shared" si="26"/>
        <v>四段</v>
      </c>
      <c r="F876" s="10" t="str">
        <f t="shared" si="27"/>
        <v>採用候補</v>
      </c>
      <c r="G876" s="13" t="s">
        <v>2148</v>
      </c>
      <c r="H876" s="14">
        <v>916272</v>
      </c>
    </row>
    <row r="877" spans="1:8" ht="30" customHeight="1">
      <c r="A877" s="7">
        <v>871</v>
      </c>
      <c r="B877" s="9" t="s">
        <v>581</v>
      </c>
      <c r="C877" s="9" t="s">
        <v>247</v>
      </c>
      <c r="D877" s="8">
        <v>39862</v>
      </c>
      <c r="E877" s="10" t="str">
        <f t="shared" si="26"/>
        <v>四段</v>
      </c>
      <c r="F877" s="10" t="str">
        <f t="shared" si="27"/>
        <v>除外</v>
      </c>
      <c r="G877" s="13" t="s">
        <v>2149</v>
      </c>
      <c r="H877" s="14">
        <v>916026</v>
      </c>
    </row>
    <row r="878" spans="1:8" ht="30" customHeight="1">
      <c r="A878" s="7">
        <v>872</v>
      </c>
      <c r="B878" s="9" t="s">
        <v>582</v>
      </c>
      <c r="C878" s="9" t="s">
        <v>526</v>
      </c>
      <c r="D878" s="8">
        <v>39645</v>
      </c>
      <c r="E878" s="10" t="str">
        <f t="shared" si="26"/>
        <v>四段</v>
      </c>
      <c r="F878" s="10" t="str">
        <f t="shared" si="27"/>
        <v>除外</v>
      </c>
      <c r="G878" s="13" t="s">
        <v>2150</v>
      </c>
      <c r="H878" s="14">
        <v>914543</v>
      </c>
    </row>
    <row r="879" spans="1:8" ht="30" customHeight="1">
      <c r="A879" s="7">
        <v>873</v>
      </c>
      <c r="B879" s="9" t="s">
        <v>583</v>
      </c>
      <c r="C879" s="9" t="s">
        <v>47</v>
      </c>
      <c r="D879" s="8">
        <v>39470</v>
      </c>
      <c r="E879" s="10" t="str">
        <f t="shared" si="26"/>
        <v>四段</v>
      </c>
      <c r="F879" s="10" t="str">
        <f t="shared" si="27"/>
        <v>除外</v>
      </c>
      <c r="G879" s="13" t="s">
        <v>2151</v>
      </c>
      <c r="H879" s="14">
        <v>914290</v>
      </c>
    </row>
    <row r="880" spans="1:8" ht="30" customHeight="1">
      <c r="A880" s="7">
        <v>874</v>
      </c>
      <c r="B880" s="9" t="s">
        <v>584</v>
      </c>
      <c r="C880" s="9" t="s">
        <v>161</v>
      </c>
      <c r="D880" s="8">
        <v>36313</v>
      </c>
      <c r="E880" s="10" t="str">
        <f t="shared" si="26"/>
        <v>四段</v>
      </c>
      <c r="F880" s="10" t="str">
        <f t="shared" si="27"/>
        <v>除外</v>
      </c>
      <c r="G880" s="13" t="s">
        <v>2152</v>
      </c>
      <c r="H880" s="14">
        <v>914225</v>
      </c>
    </row>
    <row r="881" spans="1:8" ht="30" customHeight="1">
      <c r="A881" s="7">
        <v>875</v>
      </c>
      <c r="B881" s="9" t="s">
        <v>2153</v>
      </c>
      <c r="C881" s="9" t="s">
        <v>47</v>
      </c>
      <c r="D881" s="8">
        <v>42697</v>
      </c>
      <c r="E881" s="10" t="str">
        <f t="shared" si="26"/>
        <v>四段</v>
      </c>
      <c r="F881" s="10" t="str">
        <f t="shared" si="27"/>
        <v>採用候補</v>
      </c>
      <c r="G881" s="13" t="s">
        <v>2154</v>
      </c>
      <c r="H881" s="14">
        <v>914098</v>
      </c>
    </row>
    <row r="882" spans="1:8" ht="30" customHeight="1">
      <c r="A882" s="7">
        <v>876</v>
      </c>
      <c r="B882" s="9" t="s">
        <v>585</v>
      </c>
      <c r="C882" s="9" t="s">
        <v>56</v>
      </c>
      <c r="D882" s="8">
        <v>38791</v>
      </c>
      <c r="E882" s="10" t="str">
        <f t="shared" si="26"/>
        <v>四段</v>
      </c>
      <c r="F882" s="10" t="str">
        <f t="shared" si="27"/>
        <v>除外</v>
      </c>
      <c r="G882" s="13" t="s">
        <v>2155</v>
      </c>
      <c r="H882" s="14">
        <v>912250</v>
      </c>
    </row>
    <row r="883" spans="1:8" ht="42" customHeight="1">
      <c r="A883" s="7">
        <v>877</v>
      </c>
      <c r="B883" s="9" t="s">
        <v>2156</v>
      </c>
      <c r="C883" s="9" t="s">
        <v>806</v>
      </c>
      <c r="D883" s="8">
        <v>42109</v>
      </c>
      <c r="E883" s="10" t="str">
        <f t="shared" si="26"/>
        <v>四段</v>
      </c>
      <c r="F883" s="10" t="str">
        <f t="shared" si="27"/>
        <v>採用候補</v>
      </c>
      <c r="G883" s="13" t="s">
        <v>2157</v>
      </c>
      <c r="H883" s="14">
        <v>912173</v>
      </c>
    </row>
    <row r="884" spans="1:8" ht="30" customHeight="1">
      <c r="A884" s="7">
        <v>878</v>
      </c>
      <c r="B884" s="9" t="s">
        <v>2158</v>
      </c>
      <c r="C884" s="9" t="s">
        <v>1434</v>
      </c>
      <c r="D884" s="8">
        <v>41423</v>
      </c>
      <c r="E884" s="10" t="str">
        <f t="shared" si="26"/>
        <v>四段</v>
      </c>
      <c r="F884" s="10" t="str">
        <f t="shared" si="27"/>
        <v>採用候補</v>
      </c>
      <c r="G884" s="13" t="s">
        <v>2159</v>
      </c>
      <c r="H884" s="14">
        <v>912147</v>
      </c>
    </row>
    <row r="885" spans="1:8" ht="42" customHeight="1">
      <c r="A885" s="7">
        <v>879</v>
      </c>
      <c r="B885" s="9" t="s">
        <v>2160</v>
      </c>
      <c r="C885" s="9" t="s">
        <v>310</v>
      </c>
      <c r="D885" s="8">
        <v>40310</v>
      </c>
      <c r="E885" s="10" t="str">
        <f t="shared" si="26"/>
        <v>四段</v>
      </c>
      <c r="F885" s="10" t="str">
        <f t="shared" si="27"/>
        <v>採用候補</v>
      </c>
      <c r="G885" s="13" t="s">
        <v>2161</v>
      </c>
      <c r="H885" s="14">
        <v>912068</v>
      </c>
    </row>
    <row r="886" spans="1:8" ht="30" customHeight="1">
      <c r="A886" s="7">
        <v>880</v>
      </c>
      <c r="B886" s="9" t="s">
        <v>2162</v>
      </c>
      <c r="C886" s="9" t="s">
        <v>2163</v>
      </c>
      <c r="D886" s="8">
        <v>41108</v>
      </c>
      <c r="E886" s="10" t="str">
        <f t="shared" si="26"/>
        <v>四段</v>
      </c>
      <c r="F886" s="10" t="str">
        <f t="shared" si="27"/>
        <v>採用候補</v>
      </c>
      <c r="G886" s="13" t="s">
        <v>2164</v>
      </c>
      <c r="H886" s="14">
        <v>911192</v>
      </c>
    </row>
    <row r="887" spans="1:8" ht="30" customHeight="1">
      <c r="A887" s="7">
        <v>881</v>
      </c>
      <c r="B887" s="9" t="s">
        <v>586</v>
      </c>
      <c r="C887" s="9" t="s">
        <v>351</v>
      </c>
      <c r="D887" s="8">
        <v>32470</v>
      </c>
      <c r="E887" s="10" t="str">
        <f t="shared" si="26"/>
        <v>四段</v>
      </c>
      <c r="F887" s="10" t="str">
        <f t="shared" si="27"/>
        <v>除外</v>
      </c>
      <c r="G887" s="13" t="s">
        <v>2165</v>
      </c>
      <c r="H887" s="14">
        <v>909715</v>
      </c>
    </row>
    <row r="888" spans="1:8" ht="42" customHeight="1">
      <c r="A888" s="7">
        <v>882</v>
      </c>
      <c r="B888" s="9" t="s">
        <v>587</v>
      </c>
      <c r="C888" s="9" t="s">
        <v>588</v>
      </c>
      <c r="D888" s="8">
        <v>39778</v>
      </c>
      <c r="E888" s="10" t="str">
        <f t="shared" si="26"/>
        <v>四段</v>
      </c>
      <c r="F888" s="10" t="str">
        <f t="shared" si="27"/>
        <v>除外</v>
      </c>
      <c r="G888" s="13" t="s">
        <v>2166</v>
      </c>
      <c r="H888" s="14">
        <v>909145</v>
      </c>
    </row>
    <row r="889" spans="1:8" ht="30" customHeight="1">
      <c r="A889" s="7">
        <v>883</v>
      </c>
      <c r="B889" s="9" t="s">
        <v>2167</v>
      </c>
      <c r="C889" s="9" t="s">
        <v>2168</v>
      </c>
      <c r="D889" s="8">
        <v>44617</v>
      </c>
      <c r="E889" s="10" t="str">
        <f t="shared" si="26"/>
        <v>四段</v>
      </c>
      <c r="F889" s="10" t="str">
        <f t="shared" si="27"/>
        <v>採用候補</v>
      </c>
      <c r="G889" s="13" t="s">
        <v>2169</v>
      </c>
      <c r="H889" s="14">
        <v>909058</v>
      </c>
    </row>
    <row r="890" spans="1:8" ht="30" customHeight="1">
      <c r="A890" s="7">
        <v>884</v>
      </c>
      <c r="B890" s="9" t="s">
        <v>2170</v>
      </c>
      <c r="C890" s="9" t="s">
        <v>1425</v>
      </c>
      <c r="D890" s="8">
        <v>42053</v>
      </c>
      <c r="E890" s="10" t="str">
        <f t="shared" si="26"/>
        <v>四段</v>
      </c>
      <c r="F890" s="10" t="str">
        <f t="shared" si="27"/>
        <v>採用候補</v>
      </c>
      <c r="G890" s="13" t="s">
        <v>2171</v>
      </c>
      <c r="H890" s="14">
        <v>908495</v>
      </c>
    </row>
    <row r="891" spans="1:8" ht="30" customHeight="1">
      <c r="A891" s="7">
        <v>885</v>
      </c>
      <c r="B891" s="9" t="s">
        <v>532</v>
      </c>
      <c r="C891" s="9" t="s">
        <v>589</v>
      </c>
      <c r="D891" s="8">
        <v>37889</v>
      </c>
      <c r="E891" s="10" t="str">
        <f t="shared" si="26"/>
        <v>四段</v>
      </c>
      <c r="F891" s="10" t="str">
        <f t="shared" si="27"/>
        <v>除外</v>
      </c>
      <c r="G891" s="13" t="s">
        <v>2172</v>
      </c>
      <c r="H891" s="14">
        <v>908240</v>
      </c>
    </row>
    <row r="892" spans="1:8" ht="30" customHeight="1">
      <c r="A892" s="7">
        <v>886</v>
      </c>
      <c r="B892" s="9" t="s">
        <v>2173</v>
      </c>
      <c r="C892" s="9" t="s">
        <v>2174</v>
      </c>
      <c r="D892" s="8">
        <v>43852</v>
      </c>
      <c r="E892" s="10" t="str">
        <f t="shared" si="26"/>
        <v>四段</v>
      </c>
      <c r="F892" s="10" t="str">
        <f t="shared" si="27"/>
        <v>採用候補</v>
      </c>
      <c r="G892" s="13" t="s">
        <v>2175</v>
      </c>
      <c r="H892" s="14">
        <v>906980</v>
      </c>
    </row>
    <row r="893" spans="1:8" ht="30" customHeight="1">
      <c r="A893" s="7">
        <v>887</v>
      </c>
      <c r="B893" s="9" t="s">
        <v>2176</v>
      </c>
      <c r="C893" s="9" t="s">
        <v>1241</v>
      </c>
      <c r="D893" s="8">
        <v>40779</v>
      </c>
      <c r="E893" s="10" t="str">
        <f t="shared" si="26"/>
        <v>四段</v>
      </c>
      <c r="F893" s="10" t="str">
        <f t="shared" si="27"/>
        <v>採用候補</v>
      </c>
      <c r="G893" s="13" t="s">
        <v>2177</v>
      </c>
      <c r="H893" s="14">
        <v>905663</v>
      </c>
    </row>
    <row r="894" spans="1:8" ht="30" customHeight="1">
      <c r="A894" s="7">
        <v>888</v>
      </c>
      <c r="B894" s="9" t="s">
        <v>2178</v>
      </c>
      <c r="C894" s="9" t="s">
        <v>45</v>
      </c>
      <c r="D894" s="8">
        <v>40492</v>
      </c>
      <c r="E894" s="10" t="str">
        <f t="shared" si="26"/>
        <v>四段</v>
      </c>
      <c r="F894" s="10" t="str">
        <f t="shared" si="27"/>
        <v>採用候補</v>
      </c>
      <c r="G894" s="13" t="s">
        <v>2179</v>
      </c>
      <c r="H894" s="14">
        <v>904807</v>
      </c>
    </row>
    <row r="895" spans="1:8" ht="30" customHeight="1">
      <c r="A895" s="7">
        <v>889</v>
      </c>
      <c r="B895" s="9" t="s">
        <v>2180</v>
      </c>
      <c r="C895" s="9" t="s">
        <v>1538</v>
      </c>
      <c r="D895" s="8">
        <v>41458</v>
      </c>
      <c r="E895" s="10" t="str">
        <f t="shared" si="26"/>
        <v>四段</v>
      </c>
      <c r="F895" s="10" t="str">
        <f t="shared" si="27"/>
        <v>採用候補</v>
      </c>
      <c r="G895" s="13" t="s">
        <v>2181</v>
      </c>
      <c r="H895" s="14">
        <v>904158</v>
      </c>
    </row>
    <row r="896" spans="1:8" ht="42" customHeight="1">
      <c r="A896" s="7">
        <v>890</v>
      </c>
      <c r="B896" s="9" t="s">
        <v>590</v>
      </c>
      <c r="C896" s="9" t="s">
        <v>591</v>
      </c>
      <c r="D896" s="8">
        <v>38588</v>
      </c>
      <c r="E896" s="10" t="str">
        <f t="shared" si="26"/>
        <v>四段</v>
      </c>
      <c r="F896" s="10" t="str">
        <f t="shared" si="27"/>
        <v>除外</v>
      </c>
      <c r="G896" s="13" t="s">
        <v>2182</v>
      </c>
      <c r="H896" s="14">
        <v>901446</v>
      </c>
    </row>
    <row r="897" spans="1:8" ht="30" customHeight="1">
      <c r="A897" s="7">
        <v>891</v>
      </c>
      <c r="B897" s="9" t="s">
        <v>2183</v>
      </c>
      <c r="C897" s="9" t="s">
        <v>977</v>
      </c>
      <c r="D897" s="8">
        <v>41430</v>
      </c>
      <c r="E897" s="10" t="str">
        <f t="shared" si="26"/>
        <v>四段</v>
      </c>
      <c r="F897" s="10" t="str">
        <f t="shared" si="27"/>
        <v>採用候補</v>
      </c>
      <c r="G897" s="13" t="s">
        <v>2184</v>
      </c>
      <c r="H897" s="14">
        <v>901432</v>
      </c>
    </row>
    <row r="898" spans="1:8" ht="30" customHeight="1">
      <c r="A898" s="7">
        <v>892</v>
      </c>
      <c r="B898" s="9" t="s">
        <v>466</v>
      </c>
      <c r="C898" s="9" t="s">
        <v>261</v>
      </c>
      <c r="D898" s="8">
        <v>36873</v>
      </c>
      <c r="E898" s="10" t="str">
        <f t="shared" si="26"/>
        <v>四段</v>
      </c>
      <c r="F898" s="10" t="str">
        <f t="shared" si="27"/>
        <v>除外</v>
      </c>
      <c r="G898" s="13" t="s">
        <v>2185</v>
      </c>
      <c r="H898" s="14">
        <v>900466</v>
      </c>
    </row>
    <row r="899" spans="1:8" ht="30" customHeight="1">
      <c r="A899" s="7">
        <v>893</v>
      </c>
      <c r="B899" s="9" t="s">
        <v>2186</v>
      </c>
      <c r="C899" s="9" t="s">
        <v>714</v>
      </c>
      <c r="D899" s="8">
        <v>43845</v>
      </c>
      <c r="E899" s="10" t="str">
        <f t="shared" si="26"/>
        <v>四段</v>
      </c>
      <c r="F899" s="10" t="str">
        <f t="shared" si="27"/>
        <v>採用候補</v>
      </c>
      <c r="G899" s="13" t="s">
        <v>2187</v>
      </c>
      <c r="H899" s="14">
        <v>900245</v>
      </c>
    </row>
    <row r="900" spans="1:8" ht="30" customHeight="1">
      <c r="A900" s="7">
        <v>894</v>
      </c>
      <c r="B900" s="9" t="s">
        <v>439</v>
      </c>
      <c r="C900" s="9" t="s">
        <v>19</v>
      </c>
      <c r="D900" s="8">
        <v>37257</v>
      </c>
      <c r="E900" s="10" t="str">
        <f t="shared" si="26"/>
        <v>四段</v>
      </c>
      <c r="F900" s="10" t="str">
        <f t="shared" si="27"/>
        <v>除外</v>
      </c>
      <c r="G900" s="13" t="s">
        <v>2188</v>
      </c>
      <c r="H900" s="14">
        <v>899984</v>
      </c>
    </row>
    <row r="901" spans="1:8" ht="30" customHeight="1">
      <c r="A901" s="7">
        <v>895</v>
      </c>
      <c r="B901" s="9" t="s">
        <v>592</v>
      </c>
      <c r="C901" s="9" t="s">
        <v>426</v>
      </c>
      <c r="D901" s="8">
        <v>38497</v>
      </c>
      <c r="E901" s="10" t="str">
        <f t="shared" si="26"/>
        <v>四段</v>
      </c>
      <c r="F901" s="10" t="str">
        <f t="shared" si="27"/>
        <v>除外</v>
      </c>
      <c r="G901" s="13" t="s">
        <v>2189</v>
      </c>
      <c r="H901" s="14">
        <v>899733</v>
      </c>
    </row>
    <row r="902" spans="1:8" ht="30" customHeight="1">
      <c r="A902" s="7">
        <v>896</v>
      </c>
      <c r="B902" s="9" t="s">
        <v>593</v>
      </c>
      <c r="C902" s="9" t="s">
        <v>233</v>
      </c>
      <c r="D902" s="8">
        <v>36642</v>
      </c>
      <c r="E902" s="10" t="str">
        <f t="shared" si="26"/>
        <v>四段</v>
      </c>
      <c r="F902" s="10" t="str">
        <f t="shared" si="27"/>
        <v>除外</v>
      </c>
      <c r="G902" s="13" t="s">
        <v>2190</v>
      </c>
      <c r="H902" s="14">
        <v>899692</v>
      </c>
    </row>
    <row r="903" spans="1:8" ht="30" customHeight="1">
      <c r="A903" s="7">
        <v>897</v>
      </c>
      <c r="B903" s="9" t="s">
        <v>594</v>
      </c>
      <c r="C903" s="9" t="s">
        <v>595</v>
      </c>
      <c r="D903" s="8">
        <v>33161</v>
      </c>
      <c r="E903" s="10" t="str">
        <f t="shared" ref="E903:E966" si="28">CHOOSE(INT((A903-1)/100)+1,"5級","4級","3級","2級","1級","初段","二段","三段","四段","五段")</f>
        <v>四段</v>
      </c>
      <c r="F903" s="10" t="str">
        <f t="shared" ref="F903:F966" si="29">IF(D903&gt;=DATE(2010,1,1),"採用候補","除外")</f>
        <v>除外</v>
      </c>
      <c r="G903" s="13" t="s">
        <v>2191</v>
      </c>
      <c r="H903" s="14">
        <v>899375</v>
      </c>
    </row>
    <row r="904" spans="1:8" ht="30" customHeight="1">
      <c r="A904" s="7">
        <v>898</v>
      </c>
      <c r="B904" s="9" t="s">
        <v>2192</v>
      </c>
      <c r="C904" s="9" t="s">
        <v>155</v>
      </c>
      <c r="D904" s="8">
        <v>40352</v>
      </c>
      <c r="E904" s="10" t="str">
        <f t="shared" si="28"/>
        <v>四段</v>
      </c>
      <c r="F904" s="10" t="str">
        <f t="shared" si="29"/>
        <v>採用候補</v>
      </c>
      <c r="G904" s="13" t="s">
        <v>2193</v>
      </c>
      <c r="H904" s="14">
        <v>899164</v>
      </c>
    </row>
    <row r="905" spans="1:8" ht="30" customHeight="1">
      <c r="A905" s="7">
        <v>899</v>
      </c>
      <c r="B905" s="9" t="s">
        <v>596</v>
      </c>
      <c r="C905" s="9" t="s">
        <v>597</v>
      </c>
      <c r="D905" s="8">
        <v>35271</v>
      </c>
      <c r="E905" s="10" t="str">
        <f t="shared" si="28"/>
        <v>四段</v>
      </c>
      <c r="F905" s="10" t="str">
        <f t="shared" si="29"/>
        <v>除外</v>
      </c>
      <c r="G905" s="13" t="s">
        <v>2194</v>
      </c>
      <c r="H905" s="14">
        <v>898520</v>
      </c>
    </row>
    <row r="906" spans="1:8" ht="30" customHeight="1">
      <c r="A906" s="7">
        <v>900</v>
      </c>
      <c r="B906" s="9" t="s">
        <v>2195</v>
      </c>
      <c r="C906" s="9" t="s">
        <v>47</v>
      </c>
      <c r="D906" s="8">
        <v>41360</v>
      </c>
      <c r="E906" s="10" t="str">
        <f t="shared" si="28"/>
        <v>四段</v>
      </c>
      <c r="F906" s="10" t="str">
        <f t="shared" si="29"/>
        <v>採用候補</v>
      </c>
      <c r="G906" s="13" t="s">
        <v>2196</v>
      </c>
      <c r="H906" s="14">
        <v>898513</v>
      </c>
    </row>
    <row r="907" spans="1:8" ht="30" customHeight="1">
      <c r="A907" s="7">
        <v>901</v>
      </c>
      <c r="B907" s="9" t="s">
        <v>2197</v>
      </c>
      <c r="C907" s="9" t="s">
        <v>1386</v>
      </c>
      <c r="D907" s="8">
        <v>43509</v>
      </c>
      <c r="E907" s="10" t="str">
        <f t="shared" si="28"/>
        <v>五段</v>
      </c>
      <c r="F907" s="10" t="str">
        <f t="shared" si="29"/>
        <v>採用候補</v>
      </c>
      <c r="G907" s="13" t="s">
        <v>2198</v>
      </c>
      <c r="H907" s="14">
        <v>898477</v>
      </c>
    </row>
    <row r="908" spans="1:8" ht="42" customHeight="1">
      <c r="A908" s="7">
        <v>902</v>
      </c>
      <c r="B908" s="9" t="s">
        <v>598</v>
      </c>
      <c r="C908" s="9" t="s">
        <v>310</v>
      </c>
      <c r="D908" s="8">
        <v>39225</v>
      </c>
      <c r="E908" s="10" t="str">
        <f t="shared" si="28"/>
        <v>五段</v>
      </c>
      <c r="F908" s="10" t="str">
        <f t="shared" si="29"/>
        <v>除外</v>
      </c>
      <c r="G908" s="13" t="s">
        <v>2199</v>
      </c>
      <c r="H908" s="14">
        <v>898320</v>
      </c>
    </row>
    <row r="909" spans="1:8" ht="30" customHeight="1">
      <c r="A909" s="7">
        <v>903</v>
      </c>
      <c r="B909" s="9" t="s">
        <v>2200</v>
      </c>
      <c r="C909" s="9" t="s">
        <v>19</v>
      </c>
      <c r="D909" s="8">
        <v>41962</v>
      </c>
      <c r="E909" s="10" t="str">
        <f t="shared" si="28"/>
        <v>五段</v>
      </c>
      <c r="F909" s="10" t="str">
        <f t="shared" si="29"/>
        <v>採用候補</v>
      </c>
      <c r="G909" s="13" t="s">
        <v>2201</v>
      </c>
      <c r="H909" s="14">
        <v>898228</v>
      </c>
    </row>
    <row r="910" spans="1:8" ht="30" customHeight="1">
      <c r="A910" s="7">
        <v>904</v>
      </c>
      <c r="B910" s="9" t="s">
        <v>1673</v>
      </c>
      <c r="C910" s="9" t="s">
        <v>2202</v>
      </c>
      <c r="D910" s="8">
        <v>42641</v>
      </c>
      <c r="E910" s="10" t="str">
        <f t="shared" si="28"/>
        <v>五段</v>
      </c>
      <c r="F910" s="10" t="str">
        <f t="shared" si="29"/>
        <v>採用候補</v>
      </c>
      <c r="G910" s="13" t="s">
        <v>2203</v>
      </c>
      <c r="H910" s="14">
        <v>897906</v>
      </c>
    </row>
    <row r="911" spans="1:8" ht="30" customHeight="1">
      <c r="A911" s="7">
        <v>905</v>
      </c>
      <c r="B911" s="9" t="s">
        <v>2204</v>
      </c>
      <c r="C911" s="9" t="s">
        <v>124</v>
      </c>
      <c r="D911" s="8">
        <v>40695</v>
      </c>
      <c r="E911" s="10" t="str">
        <f t="shared" si="28"/>
        <v>五段</v>
      </c>
      <c r="F911" s="10" t="str">
        <f t="shared" si="29"/>
        <v>採用候補</v>
      </c>
      <c r="G911" s="13" t="s">
        <v>2205</v>
      </c>
      <c r="H911" s="14">
        <v>897693</v>
      </c>
    </row>
    <row r="912" spans="1:8" ht="30" customHeight="1">
      <c r="A912" s="7">
        <v>906</v>
      </c>
      <c r="B912" s="9" t="s">
        <v>599</v>
      </c>
      <c r="C912" s="9" t="s">
        <v>600</v>
      </c>
      <c r="D912" s="8">
        <v>31675</v>
      </c>
      <c r="E912" s="10" t="str">
        <f t="shared" si="28"/>
        <v>五段</v>
      </c>
      <c r="F912" s="10" t="str">
        <f t="shared" si="29"/>
        <v>除外</v>
      </c>
      <c r="G912" s="13" t="s">
        <v>2206</v>
      </c>
      <c r="H912" s="14">
        <v>897596</v>
      </c>
    </row>
    <row r="913" spans="1:8" ht="30" customHeight="1">
      <c r="A913" s="7">
        <v>907</v>
      </c>
      <c r="B913" s="9" t="s">
        <v>2207</v>
      </c>
      <c r="C913" s="9" t="s">
        <v>714</v>
      </c>
      <c r="D913" s="8">
        <v>44559</v>
      </c>
      <c r="E913" s="10" t="str">
        <f t="shared" si="28"/>
        <v>五段</v>
      </c>
      <c r="F913" s="10" t="str">
        <f t="shared" si="29"/>
        <v>採用候補</v>
      </c>
      <c r="G913" s="13" t="s">
        <v>2208</v>
      </c>
      <c r="H913" s="14">
        <v>897105</v>
      </c>
    </row>
    <row r="914" spans="1:8" ht="30" customHeight="1">
      <c r="A914" s="7">
        <v>908</v>
      </c>
      <c r="B914" s="9" t="s">
        <v>601</v>
      </c>
      <c r="C914" s="9" t="s">
        <v>33</v>
      </c>
      <c r="D914" s="8">
        <v>39008</v>
      </c>
      <c r="E914" s="10" t="str">
        <f t="shared" si="28"/>
        <v>五段</v>
      </c>
      <c r="F914" s="10" t="str">
        <f t="shared" si="29"/>
        <v>除外</v>
      </c>
      <c r="G914" s="13" t="s">
        <v>2209</v>
      </c>
      <c r="H914" s="14">
        <v>896898</v>
      </c>
    </row>
    <row r="915" spans="1:8" ht="30" customHeight="1">
      <c r="A915" s="7">
        <v>909</v>
      </c>
      <c r="B915" s="9" t="s">
        <v>2210</v>
      </c>
      <c r="C915" s="9" t="s">
        <v>155</v>
      </c>
      <c r="D915" s="8">
        <v>42669</v>
      </c>
      <c r="E915" s="10" t="str">
        <f t="shared" si="28"/>
        <v>五段</v>
      </c>
      <c r="F915" s="10" t="str">
        <f t="shared" si="29"/>
        <v>採用候補</v>
      </c>
      <c r="G915" s="13" t="s">
        <v>2211</v>
      </c>
      <c r="H915" s="14">
        <v>896679</v>
      </c>
    </row>
    <row r="916" spans="1:8" ht="30" customHeight="1">
      <c r="A916" s="7">
        <v>910</v>
      </c>
      <c r="B916" s="9" t="s">
        <v>2212</v>
      </c>
      <c r="C916" s="9" t="s">
        <v>679</v>
      </c>
      <c r="D916" s="8">
        <v>42025</v>
      </c>
      <c r="E916" s="10" t="str">
        <f t="shared" si="28"/>
        <v>五段</v>
      </c>
      <c r="F916" s="10" t="str">
        <f t="shared" si="29"/>
        <v>採用候補</v>
      </c>
      <c r="G916" s="13" t="s">
        <v>2213</v>
      </c>
      <c r="H916" s="14">
        <v>895713</v>
      </c>
    </row>
    <row r="917" spans="1:8" ht="30" customHeight="1">
      <c r="A917" s="7">
        <v>911</v>
      </c>
      <c r="B917" s="9" t="s">
        <v>2214</v>
      </c>
      <c r="C917" s="9" t="s">
        <v>828</v>
      </c>
      <c r="D917" s="8">
        <v>43159</v>
      </c>
      <c r="E917" s="10" t="str">
        <f t="shared" si="28"/>
        <v>五段</v>
      </c>
      <c r="F917" s="10" t="str">
        <f t="shared" si="29"/>
        <v>採用候補</v>
      </c>
      <c r="G917" s="13" t="s">
        <v>2215</v>
      </c>
      <c r="H917" s="14">
        <v>894369</v>
      </c>
    </row>
    <row r="918" spans="1:8" ht="30" customHeight="1">
      <c r="A918" s="7">
        <v>912</v>
      </c>
      <c r="B918" s="9" t="s">
        <v>2216</v>
      </c>
      <c r="C918" s="9" t="s">
        <v>47</v>
      </c>
      <c r="D918" s="8">
        <v>43665</v>
      </c>
      <c r="E918" s="10" t="str">
        <f t="shared" si="28"/>
        <v>五段</v>
      </c>
      <c r="F918" s="10" t="str">
        <f t="shared" si="29"/>
        <v>採用候補</v>
      </c>
      <c r="G918" s="13" t="s">
        <v>2217</v>
      </c>
      <c r="H918" s="14">
        <v>893721</v>
      </c>
    </row>
    <row r="919" spans="1:8" ht="30" customHeight="1">
      <c r="A919" s="7">
        <v>913</v>
      </c>
      <c r="B919" s="9" t="s">
        <v>602</v>
      </c>
      <c r="C919" s="9" t="s">
        <v>108</v>
      </c>
      <c r="D919" s="8">
        <v>39561</v>
      </c>
      <c r="E919" s="10" t="str">
        <f t="shared" si="28"/>
        <v>五段</v>
      </c>
      <c r="F919" s="10" t="str">
        <f t="shared" si="29"/>
        <v>除外</v>
      </c>
      <c r="G919" s="13" t="s">
        <v>2218</v>
      </c>
      <c r="H919" s="14">
        <v>893554</v>
      </c>
    </row>
    <row r="920" spans="1:8" ht="30" customHeight="1">
      <c r="A920" s="7">
        <v>914</v>
      </c>
      <c r="B920" s="9" t="s">
        <v>603</v>
      </c>
      <c r="C920" s="9" t="s">
        <v>604</v>
      </c>
      <c r="D920" s="8">
        <v>33928</v>
      </c>
      <c r="E920" s="10" t="str">
        <f t="shared" si="28"/>
        <v>五段</v>
      </c>
      <c r="F920" s="10" t="str">
        <f t="shared" si="29"/>
        <v>除外</v>
      </c>
      <c r="G920" s="13" t="s">
        <v>2219</v>
      </c>
      <c r="H920" s="14">
        <v>891600</v>
      </c>
    </row>
    <row r="921" spans="1:8" ht="30" customHeight="1">
      <c r="A921" s="7">
        <v>915</v>
      </c>
      <c r="B921" s="9" t="s">
        <v>605</v>
      </c>
      <c r="C921" s="9" t="s">
        <v>606</v>
      </c>
      <c r="D921" s="8">
        <v>39057</v>
      </c>
      <c r="E921" s="10" t="str">
        <f t="shared" si="28"/>
        <v>五段</v>
      </c>
      <c r="F921" s="10" t="str">
        <f t="shared" si="29"/>
        <v>除外</v>
      </c>
      <c r="G921" s="13" t="s">
        <v>2220</v>
      </c>
      <c r="H921" s="14">
        <v>891195</v>
      </c>
    </row>
    <row r="922" spans="1:8" ht="30" customHeight="1">
      <c r="A922" s="7">
        <v>916</v>
      </c>
      <c r="B922" s="9" t="s">
        <v>607</v>
      </c>
      <c r="C922" s="9" t="s">
        <v>195</v>
      </c>
      <c r="D922" s="8">
        <v>37027</v>
      </c>
      <c r="E922" s="10" t="str">
        <f t="shared" si="28"/>
        <v>五段</v>
      </c>
      <c r="F922" s="10" t="str">
        <f t="shared" si="29"/>
        <v>除外</v>
      </c>
      <c r="G922" s="13" t="s">
        <v>2221</v>
      </c>
      <c r="H922" s="14">
        <v>890639</v>
      </c>
    </row>
    <row r="923" spans="1:8" ht="30" customHeight="1">
      <c r="A923" s="7">
        <v>917</v>
      </c>
      <c r="B923" s="9" t="s">
        <v>608</v>
      </c>
      <c r="C923" s="9" t="s">
        <v>70</v>
      </c>
      <c r="D923" s="8">
        <v>37692</v>
      </c>
      <c r="E923" s="10" t="str">
        <f t="shared" si="28"/>
        <v>五段</v>
      </c>
      <c r="F923" s="10" t="str">
        <f t="shared" si="29"/>
        <v>除外</v>
      </c>
      <c r="G923" s="13" t="s">
        <v>2222</v>
      </c>
      <c r="H923" s="14">
        <v>889395</v>
      </c>
    </row>
    <row r="924" spans="1:8" ht="30" customHeight="1">
      <c r="A924" s="7">
        <v>918</v>
      </c>
      <c r="B924" s="9" t="s">
        <v>609</v>
      </c>
      <c r="C924" s="9" t="s">
        <v>610</v>
      </c>
      <c r="D924" s="8">
        <v>35683</v>
      </c>
      <c r="E924" s="10" t="str">
        <f t="shared" si="28"/>
        <v>五段</v>
      </c>
      <c r="F924" s="10" t="str">
        <f t="shared" si="29"/>
        <v>除外</v>
      </c>
      <c r="G924" s="13" t="s">
        <v>2223</v>
      </c>
      <c r="H924" s="14">
        <v>889358</v>
      </c>
    </row>
    <row r="925" spans="1:8" ht="30" customHeight="1">
      <c r="A925" s="7">
        <v>919</v>
      </c>
      <c r="B925" s="9" t="s">
        <v>611</v>
      </c>
      <c r="C925" s="9" t="s">
        <v>21</v>
      </c>
      <c r="D925" s="8">
        <v>33014</v>
      </c>
      <c r="E925" s="10" t="str">
        <f t="shared" si="28"/>
        <v>五段</v>
      </c>
      <c r="F925" s="10" t="str">
        <f t="shared" si="29"/>
        <v>除外</v>
      </c>
      <c r="G925" s="13" t="s">
        <v>2224</v>
      </c>
      <c r="H925" s="14">
        <v>889219</v>
      </c>
    </row>
    <row r="926" spans="1:8" ht="30" customHeight="1">
      <c r="A926" s="7">
        <v>920</v>
      </c>
      <c r="B926" s="9" t="s">
        <v>2225</v>
      </c>
      <c r="C926" s="9" t="s">
        <v>2226</v>
      </c>
      <c r="D926" s="8">
        <v>42333</v>
      </c>
      <c r="E926" s="10" t="str">
        <f t="shared" si="28"/>
        <v>五段</v>
      </c>
      <c r="F926" s="10" t="str">
        <f t="shared" si="29"/>
        <v>採用候補</v>
      </c>
      <c r="G926" s="13" t="s">
        <v>2227</v>
      </c>
      <c r="H926" s="14">
        <v>888915</v>
      </c>
    </row>
    <row r="927" spans="1:8" ht="30" customHeight="1">
      <c r="A927" s="7">
        <v>921</v>
      </c>
      <c r="B927" s="9" t="s">
        <v>612</v>
      </c>
      <c r="C927" s="9" t="s">
        <v>613</v>
      </c>
      <c r="D927" s="8">
        <v>34115</v>
      </c>
      <c r="E927" s="10" t="str">
        <f t="shared" si="28"/>
        <v>五段</v>
      </c>
      <c r="F927" s="10" t="str">
        <f t="shared" si="29"/>
        <v>除外</v>
      </c>
      <c r="G927" s="13" t="s">
        <v>2228</v>
      </c>
      <c r="H927" s="14">
        <v>888681</v>
      </c>
    </row>
    <row r="928" spans="1:8" ht="30" customHeight="1">
      <c r="A928" s="7">
        <v>922</v>
      </c>
      <c r="B928" s="9" t="s">
        <v>614</v>
      </c>
      <c r="C928" s="9" t="s">
        <v>615</v>
      </c>
      <c r="D928" s="8">
        <v>33475</v>
      </c>
      <c r="E928" s="10" t="str">
        <f t="shared" si="28"/>
        <v>五段</v>
      </c>
      <c r="F928" s="10" t="str">
        <f t="shared" si="29"/>
        <v>除外</v>
      </c>
      <c r="G928" s="13" t="s">
        <v>2229</v>
      </c>
      <c r="H928" s="14">
        <v>887055</v>
      </c>
    </row>
    <row r="929" spans="1:8" ht="30" customHeight="1">
      <c r="A929" s="7">
        <v>923</v>
      </c>
      <c r="B929" s="9" t="s">
        <v>439</v>
      </c>
      <c r="C929" s="9" t="s">
        <v>155</v>
      </c>
      <c r="D929" s="8">
        <v>42564</v>
      </c>
      <c r="E929" s="10" t="str">
        <f t="shared" si="28"/>
        <v>五段</v>
      </c>
      <c r="F929" s="10" t="str">
        <f t="shared" si="29"/>
        <v>採用候補</v>
      </c>
      <c r="G929" s="13" t="s">
        <v>2230</v>
      </c>
      <c r="H929" s="14">
        <v>886595</v>
      </c>
    </row>
    <row r="930" spans="1:8" ht="30" customHeight="1">
      <c r="A930" s="7">
        <v>924</v>
      </c>
      <c r="B930" s="9" t="s">
        <v>616</v>
      </c>
      <c r="C930" s="9" t="s">
        <v>617</v>
      </c>
      <c r="D930" s="8">
        <v>38861</v>
      </c>
      <c r="E930" s="10" t="str">
        <f t="shared" si="28"/>
        <v>五段</v>
      </c>
      <c r="F930" s="10" t="str">
        <f t="shared" si="29"/>
        <v>除外</v>
      </c>
      <c r="G930" s="13" t="s">
        <v>2231</v>
      </c>
      <c r="H930" s="14">
        <v>885687</v>
      </c>
    </row>
    <row r="931" spans="1:8" ht="30" customHeight="1">
      <c r="A931" s="7">
        <v>925</v>
      </c>
      <c r="B931" s="9" t="s">
        <v>2232</v>
      </c>
      <c r="C931" s="9" t="s">
        <v>682</v>
      </c>
      <c r="D931" s="8">
        <v>42018</v>
      </c>
      <c r="E931" s="10" t="str">
        <f t="shared" si="28"/>
        <v>五段</v>
      </c>
      <c r="F931" s="10" t="str">
        <f t="shared" si="29"/>
        <v>採用候補</v>
      </c>
      <c r="G931" s="13" t="s">
        <v>2233</v>
      </c>
      <c r="H931" s="14">
        <v>885567</v>
      </c>
    </row>
    <row r="932" spans="1:8" ht="30" customHeight="1">
      <c r="A932" s="7">
        <v>926</v>
      </c>
      <c r="B932" s="9" t="s">
        <v>2234</v>
      </c>
      <c r="C932" s="9" t="s">
        <v>679</v>
      </c>
      <c r="D932" s="8">
        <v>43334</v>
      </c>
      <c r="E932" s="10" t="str">
        <f t="shared" si="28"/>
        <v>五段</v>
      </c>
      <c r="F932" s="10" t="str">
        <f t="shared" si="29"/>
        <v>採用候補</v>
      </c>
      <c r="G932" s="13" t="s">
        <v>2235</v>
      </c>
      <c r="H932" s="14">
        <v>885501</v>
      </c>
    </row>
    <row r="933" spans="1:8" ht="30" customHeight="1">
      <c r="A933" s="7">
        <v>927</v>
      </c>
      <c r="B933" s="9" t="s">
        <v>618</v>
      </c>
      <c r="C933" s="9" t="s">
        <v>54</v>
      </c>
      <c r="D933" s="8">
        <v>38749</v>
      </c>
      <c r="E933" s="10" t="str">
        <f t="shared" si="28"/>
        <v>五段</v>
      </c>
      <c r="F933" s="10" t="str">
        <f t="shared" si="29"/>
        <v>除外</v>
      </c>
      <c r="G933" s="13" t="s">
        <v>2236</v>
      </c>
      <c r="H933" s="14">
        <v>885356</v>
      </c>
    </row>
    <row r="934" spans="1:8" ht="30" customHeight="1">
      <c r="A934" s="7">
        <v>928</v>
      </c>
      <c r="B934" s="9" t="s">
        <v>619</v>
      </c>
      <c r="C934" s="9" t="s">
        <v>131</v>
      </c>
      <c r="D934" s="8">
        <v>38588</v>
      </c>
      <c r="E934" s="10" t="str">
        <f t="shared" si="28"/>
        <v>五段</v>
      </c>
      <c r="F934" s="10" t="str">
        <f t="shared" si="29"/>
        <v>除外</v>
      </c>
      <c r="G934" s="13" t="s">
        <v>2237</v>
      </c>
      <c r="H934" s="14">
        <v>882773</v>
      </c>
    </row>
    <row r="935" spans="1:8" ht="30" customHeight="1">
      <c r="A935" s="7">
        <v>929</v>
      </c>
      <c r="B935" s="9" t="s">
        <v>2238</v>
      </c>
      <c r="C935" s="9" t="s">
        <v>2239</v>
      </c>
      <c r="D935" s="8">
        <v>43299</v>
      </c>
      <c r="E935" s="10" t="str">
        <f t="shared" si="28"/>
        <v>五段</v>
      </c>
      <c r="F935" s="10" t="str">
        <f t="shared" si="29"/>
        <v>採用候補</v>
      </c>
      <c r="G935" s="13" t="s">
        <v>2240</v>
      </c>
      <c r="H935" s="14">
        <v>882190</v>
      </c>
    </row>
    <row r="936" spans="1:8" ht="30" customHeight="1">
      <c r="A936" s="7">
        <v>930</v>
      </c>
      <c r="B936" s="9" t="s">
        <v>2241</v>
      </c>
      <c r="C936" s="9" t="s">
        <v>738</v>
      </c>
      <c r="D936" s="8">
        <v>44052</v>
      </c>
      <c r="E936" s="10" t="str">
        <f t="shared" si="28"/>
        <v>五段</v>
      </c>
      <c r="F936" s="10" t="str">
        <f t="shared" si="29"/>
        <v>採用候補</v>
      </c>
      <c r="G936" s="13" t="s">
        <v>2242</v>
      </c>
      <c r="H936" s="14">
        <v>880971</v>
      </c>
    </row>
    <row r="937" spans="1:8" ht="30" customHeight="1">
      <c r="A937" s="7">
        <v>931</v>
      </c>
      <c r="B937" s="9" t="s">
        <v>620</v>
      </c>
      <c r="C937" s="9" t="s">
        <v>183</v>
      </c>
      <c r="D937" s="8">
        <v>32227</v>
      </c>
      <c r="E937" s="10" t="str">
        <f t="shared" si="28"/>
        <v>五段</v>
      </c>
      <c r="F937" s="10" t="str">
        <f t="shared" si="29"/>
        <v>除外</v>
      </c>
      <c r="G937" s="13" t="s">
        <v>2243</v>
      </c>
      <c r="H937" s="14">
        <v>880801</v>
      </c>
    </row>
    <row r="938" spans="1:8" ht="30" customHeight="1">
      <c r="A938" s="7">
        <v>932</v>
      </c>
      <c r="B938" s="9" t="s">
        <v>2244</v>
      </c>
      <c r="C938" s="9" t="s">
        <v>2245</v>
      </c>
      <c r="D938" s="8">
        <v>40212</v>
      </c>
      <c r="E938" s="10" t="str">
        <f t="shared" si="28"/>
        <v>五段</v>
      </c>
      <c r="F938" s="10" t="str">
        <f t="shared" si="29"/>
        <v>採用候補</v>
      </c>
      <c r="G938" s="13" t="s">
        <v>2246</v>
      </c>
      <c r="H938" s="14">
        <v>880001</v>
      </c>
    </row>
    <row r="939" spans="1:8" ht="30" customHeight="1">
      <c r="A939" s="7">
        <v>933</v>
      </c>
      <c r="B939" s="9" t="s">
        <v>1220</v>
      </c>
      <c r="C939" s="9" t="s">
        <v>682</v>
      </c>
      <c r="D939" s="8">
        <v>43040</v>
      </c>
      <c r="E939" s="10" t="str">
        <f t="shared" si="28"/>
        <v>五段</v>
      </c>
      <c r="F939" s="10" t="str">
        <f t="shared" si="29"/>
        <v>採用候補</v>
      </c>
      <c r="G939" s="13" t="s">
        <v>2247</v>
      </c>
      <c r="H939" s="14">
        <v>879927</v>
      </c>
    </row>
    <row r="940" spans="1:8" ht="30" customHeight="1">
      <c r="A940" s="7">
        <v>934</v>
      </c>
      <c r="B940" s="9" t="s">
        <v>2248</v>
      </c>
      <c r="C940" s="9" t="s">
        <v>2163</v>
      </c>
      <c r="D940" s="8">
        <v>42564</v>
      </c>
      <c r="E940" s="10" t="str">
        <f t="shared" si="28"/>
        <v>五段</v>
      </c>
      <c r="F940" s="10" t="str">
        <f t="shared" si="29"/>
        <v>採用候補</v>
      </c>
      <c r="G940" s="13" t="s">
        <v>2249</v>
      </c>
      <c r="H940" s="14">
        <v>879828</v>
      </c>
    </row>
    <row r="941" spans="1:8" ht="30" customHeight="1">
      <c r="A941" s="7">
        <v>935</v>
      </c>
      <c r="B941" s="9" t="s">
        <v>2250</v>
      </c>
      <c r="C941" s="9" t="s">
        <v>1241</v>
      </c>
      <c r="D941" s="8">
        <v>41507</v>
      </c>
      <c r="E941" s="10" t="str">
        <f t="shared" si="28"/>
        <v>五段</v>
      </c>
      <c r="F941" s="10" t="str">
        <f t="shared" si="29"/>
        <v>採用候補</v>
      </c>
      <c r="G941" s="13" t="s">
        <v>2251</v>
      </c>
      <c r="H941" s="14">
        <v>878858</v>
      </c>
    </row>
    <row r="942" spans="1:8" ht="42" customHeight="1">
      <c r="A942" s="7">
        <v>936</v>
      </c>
      <c r="B942" s="9" t="s">
        <v>2252</v>
      </c>
      <c r="C942" s="9" t="s">
        <v>787</v>
      </c>
      <c r="D942" s="8">
        <v>43740</v>
      </c>
      <c r="E942" s="10" t="str">
        <f t="shared" si="28"/>
        <v>五段</v>
      </c>
      <c r="F942" s="10" t="str">
        <f t="shared" si="29"/>
        <v>採用候補</v>
      </c>
      <c r="G942" s="13" t="s">
        <v>2253</v>
      </c>
      <c r="H942" s="14">
        <v>878478</v>
      </c>
    </row>
    <row r="943" spans="1:8" ht="30" customHeight="1">
      <c r="A943" s="7">
        <v>937</v>
      </c>
      <c r="B943" s="9" t="s">
        <v>621</v>
      </c>
      <c r="C943" s="9" t="s">
        <v>19</v>
      </c>
      <c r="D943" s="8">
        <v>39386</v>
      </c>
      <c r="E943" s="10" t="str">
        <f t="shared" si="28"/>
        <v>五段</v>
      </c>
      <c r="F943" s="10" t="str">
        <f t="shared" si="29"/>
        <v>除外</v>
      </c>
      <c r="G943" s="13" t="s">
        <v>2254</v>
      </c>
      <c r="H943" s="14">
        <v>878404</v>
      </c>
    </row>
    <row r="944" spans="1:8" ht="30" customHeight="1">
      <c r="A944" s="7">
        <v>938</v>
      </c>
      <c r="B944" s="9" t="s">
        <v>622</v>
      </c>
      <c r="C944" s="9" t="s">
        <v>597</v>
      </c>
      <c r="D944" s="8">
        <v>35882</v>
      </c>
      <c r="E944" s="10" t="str">
        <f t="shared" si="28"/>
        <v>五段</v>
      </c>
      <c r="F944" s="10" t="str">
        <f t="shared" si="29"/>
        <v>除外</v>
      </c>
      <c r="G944" s="13" t="s">
        <v>2255</v>
      </c>
      <c r="H944" s="14">
        <v>878099</v>
      </c>
    </row>
    <row r="945" spans="1:8" ht="30" customHeight="1">
      <c r="A945" s="7">
        <v>939</v>
      </c>
      <c r="B945" s="9" t="s">
        <v>623</v>
      </c>
      <c r="C945" s="9" t="s">
        <v>624</v>
      </c>
      <c r="D945" s="8">
        <v>34017</v>
      </c>
      <c r="E945" s="10" t="str">
        <f t="shared" si="28"/>
        <v>五段</v>
      </c>
      <c r="F945" s="10" t="str">
        <f t="shared" si="29"/>
        <v>除外</v>
      </c>
      <c r="G945" s="13" t="s">
        <v>2256</v>
      </c>
      <c r="H945" s="14">
        <v>877839</v>
      </c>
    </row>
    <row r="946" spans="1:8" ht="30" customHeight="1">
      <c r="A946" s="7">
        <v>940</v>
      </c>
      <c r="B946" s="9" t="s">
        <v>2257</v>
      </c>
      <c r="C946" s="9" t="s">
        <v>828</v>
      </c>
      <c r="D946" s="8">
        <v>42963</v>
      </c>
      <c r="E946" s="10" t="str">
        <f t="shared" si="28"/>
        <v>五段</v>
      </c>
      <c r="F946" s="10" t="str">
        <f t="shared" si="29"/>
        <v>採用候補</v>
      </c>
      <c r="G946" s="13" t="s">
        <v>2258</v>
      </c>
      <c r="H946" s="14">
        <v>877383</v>
      </c>
    </row>
    <row r="947" spans="1:8" ht="30" customHeight="1">
      <c r="A947" s="7">
        <v>941</v>
      </c>
      <c r="B947" s="9" t="s">
        <v>2259</v>
      </c>
      <c r="C947" s="9" t="s">
        <v>2260</v>
      </c>
      <c r="D947" s="8">
        <v>40821</v>
      </c>
      <c r="E947" s="10" t="str">
        <f t="shared" si="28"/>
        <v>五段</v>
      </c>
      <c r="F947" s="10" t="str">
        <f t="shared" si="29"/>
        <v>採用候補</v>
      </c>
      <c r="G947" s="13" t="s">
        <v>2261</v>
      </c>
      <c r="H947" s="14">
        <v>877186</v>
      </c>
    </row>
    <row r="948" spans="1:8" ht="30" customHeight="1">
      <c r="A948" s="7">
        <v>942</v>
      </c>
      <c r="B948" s="9" t="s">
        <v>2262</v>
      </c>
      <c r="C948" s="9" t="s">
        <v>780</v>
      </c>
      <c r="D948" s="8">
        <v>42221</v>
      </c>
      <c r="E948" s="10" t="str">
        <f t="shared" si="28"/>
        <v>五段</v>
      </c>
      <c r="F948" s="10" t="str">
        <f t="shared" si="29"/>
        <v>採用候補</v>
      </c>
      <c r="G948" s="13" t="s">
        <v>2263</v>
      </c>
      <c r="H948" s="14">
        <v>876617</v>
      </c>
    </row>
    <row r="949" spans="1:8" ht="30" customHeight="1">
      <c r="A949" s="7">
        <v>943</v>
      </c>
      <c r="B949" s="9" t="s">
        <v>625</v>
      </c>
      <c r="C949" s="9" t="s">
        <v>626</v>
      </c>
      <c r="D949" s="8">
        <v>35875</v>
      </c>
      <c r="E949" s="10" t="str">
        <f t="shared" si="28"/>
        <v>五段</v>
      </c>
      <c r="F949" s="10" t="str">
        <f t="shared" si="29"/>
        <v>除外</v>
      </c>
      <c r="G949" s="13" t="s">
        <v>2264</v>
      </c>
      <c r="H949" s="14">
        <v>876254</v>
      </c>
    </row>
    <row r="950" spans="1:8" ht="30" customHeight="1">
      <c r="A950" s="7">
        <v>944</v>
      </c>
      <c r="B950" s="9" t="s">
        <v>627</v>
      </c>
      <c r="C950" s="9" t="s">
        <v>628</v>
      </c>
      <c r="D950" s="8">
        <v>32319</v>
      </c>
      <c r="E950" s="10" t="str">
        <f t="shared" si="28"/>
        <v>五段</v>
      </c>
      <c r="F950" s="10" t="str">
        <f t="shared" si="29"/>
        <v>除外</v>
      </c>
      <c r="G950" s="13" t="s">
        <v>2265</v>
      </c>
      <c r="H950" s="14">
        <v>875737</v>
      </c>
    </row>
    <row r="951" spans="1:8" ht="42" customHeight="1">
      <c r="A951" s="7">
        <v>945</v>
      </c>
      <c r="B951" s="9" t="s">
        <v>629</v>
      </c>
      <c r="C951" s="9" t="s">
        <v>630</v>
      </c>
      <c r="D951" s="8">
        <v>38595</v>
      </c>
      <c r="E951" s="10" t="str">
        <f t="shared" si="28"/>
        <v>五段</v>
      </c>
      <c r="F951" s="10" t="str">
        <f t="shared" si="29"/>
        <v>除外</v>
      </c>
      <c r="G951" s="13" t="s">
        <v>2266</v>
      </c>
      <c r="H951" s="14">
        <v>875553</v>
      </c>
    </row>
    <row r="952" spans="1:8" ht="30" customHeight="1">
      <c r="A952" s="7">
        <v>946</v>
      </c>
      <c r="B952" s="9" t="s">
        <v>631</v>
      </c>
      <c r="C952" s="9" t="s">
        <v>632</v>
      </c>
      <c r="D952" s="8">
        <v>38210</v>
      </c>
      <c r="E952" s="10" t="str">
        <f t="shared" si="28"/>
        <v>五段</v>
      </c>
      <c r="F952" s="10" t="str">
        <f t="shared" si="29"/>
        <v>除外</v>
      </c>
      <c r="G952" s="13" t="s">
        <v>2267</v>
      </c>
      <c r="H952" s="14">
        <v>875060</v>
      </c>
    </row>
    <row r="953" spans="1:8" ht="30" customHeight="1">
      <c r="A953" s="7">
        <v>947</v>
      </c>
      <c r="B953" s="9" t="s">
        <v>633</v>
      </c>
      <c r="C953" s="9" t="s">
        <v>377</v>
      </c>
      <c r="D953" s="8">
        <v>36194</v>
      </c>
      <c r="E953" s="10" t="str">
        <f t="shared" si="28"/>
        <v>五段</v>
      </c>
      <c r="F953" s="10" t="str">
        <f t="shared" si="29"/>
        <v>除外</v>
      </c>
      <c r="G953" s="13" t="s">
        <v>2268</v>
      </c>
      <c r="H953" s="14">
        <v>874617</v>
      </c>
    </row>
    <row r="954" spans="1:8" ht="30" customHeight="1">
      <c r="A954" s="7">
        <v>948</v>
      </c>
      <c r="B954" s="9" t="s">
        <v>2269</v>
      </c>
      <c r="C954" s="9" t="s">
        <v>88</v>
      </c>
      <c r="D954" s="8">
        <v>41493</v>
      </c>
      <c r="E954" s="10" t="str">
        <f t="shared" si="28"/>
        <v>五段</v>
      </c>
      <c r="F954" s="10" t="str">
        <f t="shared" si="29"/>
        <v>採用候補</v>
      </c>
      <c r="G954" s="13" t="s">
        <v>2270</v>
      </c>
      <c r="H954" s="14">
        <v>874216</v>
      </c>
    </row>
    <row r="955" spans="1:8" ht="30" customHeight="1">
      <c r="A955" s="7">
        <v>949</v>
      </c>
      <c r="B955" s="9" t="s">
        <v>2271</v>
      </c>
      <c r="C955" s="9" t="s">
        <v>108</v>
      </c>
      <c r="D955" s="8">
        <v>40730</v>
      </c>
      <c r="E955" s="10" t="str">
        <f t="shared" si="28"/>
        <v>五段</v>
      </c>
      <c r="F955" s="10" t="str">
        <f t="shared" si="29"/>
        <v>採用候補</v>
      </c>
      <c r="G955" s="13" t="s">
        <v>2272</v>
      </c>
      <c r="H955" s="14">
        <v>873495</v>
      </c>
    </row>
    <row r="956" spans="1:8" ht="30" customHeight="1">
      <c r="A956" s="7">
        <v>950</v>
      </c>
      <c r="B956" s="9" t="s">
        <v>634</v>
      </c>
      <c r="C956" s="9" t="s">
        <v>65</v>
      </c>
      <c r="D956" s="8">
        <v>39470</v>
      </c>
      <c r="E956" s="10" t="str">
        <f t="shared" si="28"/>
        <v>五段</v>
      </c>
      <c r="F956" s="10" t="str">
        <f t="shared" si="29"/>
        <v>除外</v>
      </c>
      <c r="G956" s="13" t="s">
        <v>2273</v>
      </c>
      <c r="H956" s="14">
        <v>871593</v>
      </c>
    </row>
    <row r="957" spans="1:8" ht="30" customHeight="1">
      <c r="A957" s="7">
        <v>951</v>
      </c>
      <c r="B957" s="9" t="s">
        <v>2274</v>
      </c>
      <c r="C957" s="9" t="s">
        <v>45</v>
      </c>
      <c r="D957" s="8">
        <v>40240</v>
      </c>
      <c r="E957" s="10" t="str">
        <f t="shared" si="28"/>
        <v>五段</v>
      </c>
      <c r="F957" s="10" t="str">
        <f t="shared" si="29"/>
        <v>採用候補</v>
      </c>
      <c r="G957" s="13" t="s">
        <v>2275</v>
      </c>
      <c r="H957" s="14">
        <v>870630</v>
      </c>
    </row>
    <row r="958" spans="1:8" ht="30" customHeight="1">
      <c r="A958" s="7">
        <v>952</v>
      </c>
      <c r="B958" s="9" t="s">
        <v>635</v>
      </c>
      <c r="C958" s="9" t="s">
        <v>412</v>
      </c>
      <c r="D958" s="8">
        <v>40149</v>
      </c>
      <c r="E958" s="10" t="str">
        <f t="shared" si="28"/>
        <v>五段</v>
      </c>
      <c r="F958" s="10" t="str">
        <f t="shared" si="29"/>
        <v>除外</v>
      </c>
      <c r="G958" s="13" t="s">
        <v>2276</v>
      </c>
      <c r="H958" s="14">
        <v>870494</v>
      </c>
    </row>
    <row r="959" spans="1:8" ht="30" customHeight="1">
      <c r="A959" s="7">
        <v>953</v>
      </c>
      <c r="B959" s="9" t="s">
        <v>2277</v>
      </c>
      <c r="C959" s="9" t="s">
        <v>679</v>
      </c>
      <c r="D959" s="8">
        <v>42347</v>
      </c>
      <c r="E959" s="10" t="str">
        <f t="shared" si="28"/>
        <v>五段</v>
      </c>
      <c r="F959" s="10" t="str">
        <f t="shared" si="29"/>
        <v>採用候補</v>
      </c>
      <c r="G959" s="13" t="s">
        <v>2278</v>
      </c>
      <c r="H959" s="14">
        <v>870395</v>
      </c>
    </row>
    <row r="960" spans="1:8" ht="30" customHeight="1">
      <c r="A960" s="7">
        <v>954</v>
      </c>
      <c r="B960" s="9" t="s">
        <v>636</v>
      </c>
      <c r="C960" s="9" t="s">
        <v>637</v>
      </c>
      <c r="D960" s="8">
        <v>35155</v>
      </c>
      <c r="E960" s="10" t="str">
        <f t="shared" si="28"/>
        <v>五段</v>
      </c>
      <c r="F960" s="10" t="str">
        <f t="shared" si="29"/>
        <v>除外</v>
      </c>
      <c r="G960" s="13" t="s">
        <v>2279</v>
      </c>
      <c r="H960" s="14">
        <v>870281</v>
      </c>
    </row>
    <row r="961" spans="1:8" ht="42" customHeight="1">
      <c r="A961" s="7">
        <v>955</v>
      </c>
      <c r="B961" s="9" t="s">
        <v>638</v>
      </c>
      <c r="C961" s="9" t="s">
        <v>639</v>
      </c>
      <c r="D961" s="8">
        <v>38308</v>
      </c>
      <c r="E961" s="10" t="str">
        <f t="shared" si="28"/>
        <v>五段</v>
      </c>
      <c r="F961" s="10" t="str">
        <f t="shared" si="29"/>
        <v>除外</v>
      </c>
      <c r="G961" s="13" t="s">
        <v>2280</v>
      </c>
      <c r="H961" s="14">
        <v>870186</v>
      </c>
    </row>
    <row r="962" spans="1:8" ht="30" customHeight="1">
      <c r="A962" s="7">
        <v>956</v>
      </c>
      <c r="B962" s="9" t="s">
        <v>640</v>
      </c>
      <c r="C962" s="9" t="s">
        <v>393</v>
      </c>
      <c r="D962" s="8">
        <v>39106</v>
      </c>
      <c r="E962" s="10" t="str">
        <f t="shared" si="28"/>
        <v>五段</v>
      </c>
      <c r="F962" s="10" t="str">
        <f t="shared" si="29"/>
        <v>除外</v>
      </c>
      <c r="G962" s="13" t="s">
        <v>2281</v>
      </c>
      <c r="H962" s="14">
        <v>868647</v>
      </c>
    </row>
    <row r="963" spans="1:8" ht="30" customHeight="1">
      <c r="A963" s="7">
        <v>957</v>
      </c>
      <c r="B963" s="9" t="s">
        <v>2282</v>
      </c>
      <c r="C963" s="9" t="s">
        <v>2283</v>
      </c>
      <c r="D963" s="8">
        <v>40611</v>
      </c>
      <c r="E963" s="10" t="str">
        <f t="shared" si="28"/>
        <v>五段</v>
      </c>
      <c r="F963" s="10" t="str">
        <f t="shared" si="29"/>
        <v>採用候補</v>
      </c>
      <c r="G963" s="13" t="s">
        <v>2284</v>
      </c>
      <c r="H963" s="14">
        <v>868231</v>
      </c>
    </row>
    <row r="964" spans="1:8" ht="30" customHeight="1">
      <c r="A964" s="7">
        <v>958</v>
      </c>
      <c r="B964" s="9" t="s">
        <v>2285</v>
      </c>
      <c r="C964" s="9" t="s">
        <v>1025</v>
      </c>
      <c r="D964" s="8">
        <v>45296</v>
      </c>
      <c r="E964" s="10" t="str">
        <f t="shared" si="28"/>
        <v>五段</v>
      </c>
      <c r="F964" s="10" t="str">
        <f t="shared" si="29"/>
        <v>採用候補</v>
      </c>
      <c r="G964" s="13" t="s">
        <v>2286</v>
      </c>
      <c r="H964" s="14">
        <v>868114</v>
      </c>
    </row>
    <row r="965" spans="1:8" ht="30" customHeight="1">
      <c r="A965" s="7">
        <v>959</v>
      </c>
      <c r="B965" s="9" t="s">
        <v>641</v>
      </c>
      <c r="C965" s="9" t="s">
        <v>268</v>
      </c>
      <c r="D965" s="8">
        <v>38651</v>
      </c>
      <c r="E965" s="10" t="str">
        <f t="shared" si="28"/>
        <v>五段</v>
      </c>
      <c r="F965" s="10" t="str">
        <f t="shared" si="29"/>
        <v>除外</v>
      </c>
      <c r="G965" s="13" t="s">
        <v>2287</v>
      </c>
      <c r="H965" s="14">
        <v>868066</v>
      </c>
    </row>
    <row r="966" spans="1:8" ht="30" customHeight="1">
      <c r="A966" s="7">
        <v>960</v>
      </c>
      <c r="B966" s="9" t="s">
        <v>642</v>
      </c>
      <c r="C966" s="9" t="s">
        <v>19</v>
      </c>
      <c r="D966" s="8">
        <v>37202</v>
      </c>
      <c r="E966" s="10" t="str">
        <f t="shared" si="28"/>
        <v>五段</v>
      </c>
      <c r="F966" s="10" t="str">
        <f t="shared" si="29"/>
        <v>除外</v>
      </c>
      <c r="G966" s="13" t="s">
        <v>2288</v>
      </c>
      <c r="H966" s="14">
        <v>867486</v>
      </c>
    </row>
    <row r="967" spans="1:8" ht="30" customHeight="1">
      <c r="A967" s="7">
        <v>961</v>
      </c>
      <c r="B967" s="9" t="s">
        <v>2289</v>
      </c>
      <c r="C967" s="9" t="s">
        <v>738</v>
      </c>
      <c r="D967" s="8">
        <v>44945</v>
      </c>
      <c r="E967" s="10" t="str">
        <f t="shared" ref="E967:E1006" si="30">CHOOSE(INT((A967-1)/100)+1,"5級","4級","3級","2級","1級","初段","二段","三段","四段","五段")</f>
        <v>五段</v>
      </c>
      <c r="F967" s="10" t="str">
        <f t="shared" ref="F967:F1006" si="31">IF(D967&gt;=DATE(2010,1,1),"採用候補","除外")</f>
        <v>採用候補</v>
      </c>
      <c r="G967" s="13" t="s">
        <v>2290</v>
      </c>
      <c r="H967" s="14">
        <v>867270</v>
      </c>
    </row>
    <row r="968" spans="1:8" ht="30" customHeight="1">
      <c r="A968" s="7">
        <v>962</v>
      </c>
      <c r="B968" s="9" t="s">
        <v>643</v>
      </c>
      <c r="C968" s="9" t="s">
        <v>184</v>
      </c>
      <c r="D968" s="8">
        <v>39610</v>
      </c>
      <c r="E968" s="10" t="str">
        <f t="shared" si="30"/>
        <v>五段</v>
      </c>
      <c r="F968" s="10" t="str">
        <f t="shared" si="31"/>
        <v>除外</v>
      </c>
      <c r="G968" s="13" t="s">
        <v>2291</v>
      </c>
      <c r="H968" s="14">
        <v>866460</v>
      </c>
    </row>
    <row r="969" spans="1:8" ht="30" customHeight="1">
      <c r="A969" s="7">
        <v>963</v>
      </c>
      <c r="B969" s="9" t="s">
        <v>644</v>
      </c>
      <c r="C969" s="9" t="s">
        <v>426</v>
      </c>
      <c r="D969" s="8">
        <v>31553</v>
      </c>
      <c r="E969" s="10" t="str">
        <f t="shared" si="30"/>
        <v>五段</v>
      </c>
      <c r="F969" s="10" t="str">
        <f t="shared" si="31"/>
        <v>除外</v>
      </c>
      <c r="G969" s="13" t="s">
        <v>2292</v>
      </c>
      <c r="H969" s="14">
        <v>866015</v>
      </c>
    </row>
    <row r="970" spans="1:8" ht="42" customHeight="1">
      <c r="A970" s="7">
        <v>964</v>
      </c>
      <c r="B970" s="9" t="s">
        <v>645</v>
      </c>
      <c r="C970" s="9" t="s">
        <v>67</v>
      </c>
      <c r="D970" s="8">
        <v>32834</v>
      </c>
      <c r="E970" s="10" t="str">
        <f t="shared" si="30"/>
        <v>五段</v>
      </c>
      <c r="F970" s="10" t="str">
        <f t="shared" si="31"/>
        <v>除外</v>
      </c>
      <c r="G970" s="13" t="s">
        <v>2293</v>
      </c>
      <c r="H970" s="14">
        <v>865983</v>
      </c>
    </row>
    <row r="971" spans="1:8" ht="30" customHeight="1">
      <c r="A971" s="7">
        <v>965</v>
      </c>
      <c r="B971" s="9" t="s">
        <v>2294</v>
      </c>
      <c r="C971" s="9" t="s">
        <v>682</v>
      </c>
      <c r="D971" s="8">
        <v>42249</v>
      </c>
      <c r="E971" s="10" t="str">
        <f t="shared" si="30"/>
        <v>五段</v>
      </c>
      <c r="F971" s="10" t="str">
        <f t="shared" si="31"/>
        <v>採用候補</v>
      </c>
      <c r="G971" s="13" t="s">
        <v>2295</v>
      </c>
      <c r="H971" s="14">
        <v>865853</v>
      </c>
    </row>
    <row r="972" spans="1:8" ht="30" customHeight="1">
      <c r="A972" s="7">
        <v>966</v>
      </c>
      <c r="B972" s="9" t="s">
        <v>646</v>
      </c>
      <c r="C972" s="9" t="s">
        <v>148</v>
      </c>
      <c r="D972" s="8">
        <v>38679</v>
      </c>
      <c r="E972" s="10" t="str">
        <f t="shared" si="30"/>
        <v>五段</v>
      </c>
      <c r="F972" s="10" t="str">
        <f t="shared" si="31"/>
        <v>除外</v>
      </c>
      <c r="G972" s="13" t="s">
        <v>2296</v>
      </c>
      <c r="H972" s="14">
        <v>865287</v>
      </c>
    </row>
    <row r="973" spans="1:8" ht="42" customHeight="1">
      <c r="A973" s="7">
        <v>967</v>
      </c>
      <c r="B973" s="9" t="s">
        <v>274</v>
      </c>
      <c r="C973" s="9" t="s">
        <v>310</v>
      </c>
      <c r="D973" s="8">
        <v>39862</v>
      </c>
      <c r="E973" s="10" t="str">
        <f t="shared" si="30"/>
        <v>五段</v>
      </c>
      <c r="F973" s="10" t="str">
        <f t="shared" si="31"/>
        <v>除外</v>
      </c>
      <c r="G973" s="13" t="s">
        <v>2297</v>
      </c>
      <c r="H973" s="14">
        <v>863293</v>
      </c>
    </row>
    <row r="974" spans="1:8" ht="30" customHeight="1">
      <c r="A974" s="7">
        <v>968</v>
      </c>
      <c r="B974" s="9" t="s">
        <v>2298</v>
      </c>
      <c r="C974" s="9" t="s">
        <v>2299</v>
      </c>
      <c r="D974" s="8">
        <v>40415</v>
      </c>
      <c r="E974" s="10" t="str">
        <f t="shared" si="30"/>
        <v>五段</v>
      </c>
      <c r="F974" s="10" t="str">
        <f t="shared" si="31"/>
        <v>採用候補</v>
      </c>
      <c r="G974" s="13" t="s">
        <v>2300</v>
      </c>
      <c r="H974" s="14">
        <v>863262</v>
      </c>
    </row>
    <row r="975" spans="1:8" ht="30" customHeight="1">
      <c r="A975" s="7">
        <v>969</v>
      </c>
      <c r="B975" s="9" t="s">
        <v>647</v>
      </c>
      <c r="C975" s="9" t="s">
        <v>648</v>
      </c>
      <c r="D975" s="8">
        <v>36701</v>
      </c>
      <c r="E975" s="10" t="str">
        <f t="shared" si="30"/>
        <v>五段</v>
      </c>
      <c r="F975" s="10" t="str">
        <f t="shared" si="31"/>
        <v>除外</v>
      </c>
      <c r="G975" s="13" t="s">
        <v>2301</v>
      </c>
      <c r="H975" s="14">
        <v>862649</v>
      </c>
    </row>
    <row r="976" spans="1:8" ht="30" customHeight="1">
      <c r="A976" s="7">
        <v>970</v>
      </c>
      <c r="B976" s="9" t="s">
        <v>649</v>
      </c>
      <c r="C976" s="9" t="s">
        <v>650</v>
      </c>
      <c r="D976" s="8">
        <v>39911</v>
      </c>
      <c r="E976" s="10" t="str">
        <f t="shared" si="30"/>
        <v>五段</v>
      </c>
      <c r="F976" s="10" t="str">
        <f t="shared" si="31"/>
        <v>除外</v>
      </c>
      <c r="G976" s="13" t="s">
        <v>2302</v>
      </c>
      <c r="H976" s="14">
        <v>862444</v>
      </c>
    </row>
    <row r="977" spans="1:8" ht="42" customHeight="1">
      <c r="A977" s="7">
        <v>971</v>
      </c>
      <c r="B977" s="9" t="s">
        <v>2303</v>
      </c>
      <c r="C977" s="9" t="s">
        <v>2304</v>
      </c>
      <c r="D977" s="8">
        <v>45448</v>
      </c>
      <c r="E977" s="10" t="str">
        <f t="shared" si="30"/>
        <v>五段</v>
      </c>
      <c r="F977" s="10" t="str">
        <f t="shared" si="31"/>
        <v>採用候補</v>
      </c>
      <c r="G977" s="13" t="s">
        <v>2305</v>
      </c>
      <c r="H977" s="14">
        <v>862052</v>
      </c>
    </row>
    <row r="978" spans="1:8" ht="30" customHeight="1">
      <c r="A978" s="7">
        <v>972</v>
      </c>
      <c r="B978" s="9" t="s">
        <v>651</v>
      </c>
      <c r="C978" s="9" t="s">
        <v>652</v>
      </c>
      <c r="D978" s="8">
        <v>35370</v>
      </c>
      <c r="E978" s="10" t="str">
        <f t="shared" si="30"/>
        <v>五段</v>
      </c>
      <c r="F978" s="10" t="str">
        <f t="shared" si="31"/>
        <v>除外</v>
      </c>
      <c r="G978" s="13" t="s">
        <v>2306</v>
      </c>
      <c r="H978" s="14">
        <v>861918</v>
      </c>
    </row>
    <row r="979" spans="1:8" ht="30" customHeight="1">
      <c r="A979" s="7">
        <v>973</v>
      </c>
      <c r="B979" s="9" t="s">
        <v>2307</v>
      </c>
      <c r="C979" s="9" t="s">
        <v>2308</v>
      </c>
      <c r="D979" s="8">
        <v>43033</v>
      </c>
      <c r="E979" s="10" t="str">
        <f t="shared" si="30"/>
        <v>五段</v>
      </c>
      <c r="F979" s="10" t="str">
        <f t="shared" si="31"/>
        <v>採用候補</v>
      </c>
      <c r="G979" s="13" t="s">
        <v>2309</v>
      </c>
      <c r="H979" s="14">
        <v>861550</v>
      </c>
    </row>
    <row r="980" spans="1:8" ht="30" customHeight="1">
      <c r="A980" s="7">
        <v>974</v>
      </c>
      <c r="B980" s="9" t="s">
        <v>2310</v>
      </c>
      <c r="C980" s="9" t="s">
        <v>2311</v>
      </c>
      <c r="D980" s="8">
        <v>40401</v>
      </c>
      <c r="E980" s="10" t="str">
        <f t="shared" si="30"/>
        <v>五段</v>
      </c>
      <c r="F980" s="10" t="str">
        <f t="shared" si="31"/>
        <v>採用候補</v>
      </c>
      <c r="G980" s="13" t="s">
        <v>2312</v>
      </c>
      <c r="H980" s="14">
        <v>860604</v>
      </c>
    </row>
    <row r="981" spans="1:8" ht="42" customHeight="1">
      <c r="A981" s="7">
        <v>975</v>
      </c>
      <c r="B981" s="9" t="s">
        <v>653</v>
      </c>
      <c r="C981" s="9" t="s">
        <v>654</v>
      </c>
      <c r="D981" s="8">
        <v>39351</v>
      </c>
      <c r="E981" s="10" t="str">
        <f t="shared" si="30"/>
        <v>五段</v>
      </c>
      <c r="F981" s="10" t="str">
        <f t="shared" si="31"/>
        <v>除外</v>
      </c>
      <c r="G981" s="13" t="s">
        <v>2313</v>
      </c>
      <c r="H981" s="14">
        <v>860540</v>
      </c>
    </row>
    <row r="982" spans="1:8" ht="30" customHeight="1">
      <c r="A982" s="7">
        <v>976</v>
      </c>
      <c r="B982" s="9" t="s">
        <v>655</v>
      </c>
      <c r="C982" s="9" t="s">
        <v>656</v>
      </c>
      <c r="D982" s="8">
        <v>38175</v>
      </c>
      <c r="E982" s="10" t="str">
        <f t="shared" si="30"/>
        <v>五段</v>
      </c>
      <c r="F982" s="10" t="str">
        <f t="shared" si="31"/>
        <v>除外</v>
      </c>
      <c r="G982" s="13" t="s">
        <v>2314</v>
      </c>
      <c r="H982" s="14">
        <v>859509</v>
      </c>
    </row>
    <row r="983" spans="1:8" ht="30" customHeight="1">
      <c r="A983" s="7">
        <v>977</v>
      </c>
      <c r="B983" s="9" t="s">
        <v>2315</v>
      </c>
      <c r="C983" s="9" t="s">
        <v>70</v>
      </c>
      <c r="D983" s="8">
        <v>44334</v>
      </c>
      <c r="E983" s="10" t="str">
        <f t="shared" si="30"/>
        <v>五段</v>
      </c>
      <c r="F983" s="10" t="str">
        <f t="shared" si="31"/>
        <v>採用候補</v>
      </c>
      <c r="G983" s="13" t="s">
        <v>2316</v>
      </c>
      <c r="H983" s="14">
        <v>859417</v>
      </c>
    </row>
    <row r="984" spans="1:8" ht="30" customHeight="1">
      <c r="A984" s="7">
        <v>978</v>
      </c>
      <c r="B984" s="9" t="s">
        <v>2317</v>
      </c>
      <c r="C984" s="9" t="s">
        <v>679</v>
      </c>
      <c r="D984" s="8">
        <v>40842</v>
      </c>
      <c r="E984" s="10" t="str">
        <f t="shared" si="30"/>
        <v>五段</v>
      </c>
      <c r="F984" s="10" t="str">
        <f t="shared" si="31"/>
        <v>採用候補</v>
      </c>
      <c r="G984" s="13" t="s">
        <v>2318</v>
      </c>
      <c r="H984" s="14">
        <v>858138</v>
      </c>
    </row>
    <row r="985" spans="1:8" ht="30" customHeight="1">
      <c r="A985" s="7">
        <v>979</v>
      </c>
      <c r="B985" s="9" t="s">
        <v>2319</v>
      </c>
      <c r="C985" s="9" t="s">
        <v>738</v>
      </c>
      <c r="D985" s="8">
        <v>44384</v>
      </c>
      <c r="E985" s="10" t="str">
        <f t="shared" si="30"/>
        <v>五段</v>
      </c>
      <c r="F985" s="10" t="str">
        <f t="shared" si="31"/>
        <v>採用候補</v>
      </c>
      <c r="G985" s="13" t="s">
        <v>2320</v>
      </c>
      <c r="H985" s="14">
        <v>857511</v>
      </c>
    </row>
    <row r="986" spans="1:8" ht="30" customHeight="1">
      <c r="A986" s="7">
        <v>980</v>
      </c>
      <c r="B986" s="9" t="s">
        <v>2321</v>
      </c>
      <c r="C986" s="9" t="s">
        <v>2322</v>
      </c>
      <c r="D986" s="8">
        <v>45374</v>
      </c>
      <c r="E986" s="10" t="str">
        <f t="shared" si="30"/>
        <v>五段</v>
      </c>
      <c r="F986" s="10" t="str">
        <f t="shared" si="31"/>
        <v>採用候補</v>
      </c>
      <c r="G986" s="13" t="s">
        <v>2323</v>
      </c>
      <c r="H986" s="14">
        <v>857373</v>
      </c>
    </row>
    <row r="987" spans="1:8" ht="30" customHeight="1">
      <c r="A987" s="7">
        <v>981</v>
      </c>
      <c r="B987" s="9" t="s">
        <v>2324</v>
      </c>
      <c r="C987" s="9" t="s">
        <v>2325</v>
      </c>
      <c r="D987" s="8">
        <v>41164</v>
      </c>
      <c r="E987" s="10" t="str">
        <f t="shared" si="30"/>
        <v>五段</v>
      </c>
      <c r="F987" s="10" t="str">
        <f t="shared" si="31"/>
        <v>採用候補</v>
      </c>
      <c r="G987" s="13" t="s">
        <v>2326</v>
      </c>
      <c r="H987" s="14">
        <v>857297</v>
      </c>
    </row>
    <row r="988" spans="1:8" ht="30" customHeight="1">
      <c r="A988" s="7">
        <v>982</v>
      </c>
      <c r="B988" s="9" t="s">
        <v>657</v>
      </c>
      <c r="C988" s="9" t="s">
        <v>45</v>
      </c>
      <c r="D988" s="8">
        <v>38035</v>
      </c>
      <c r="E988" s="10" t="str">
        <f t="shared" si="30"/>
        <v>五段</v>
      </c>
      <c r="F988" s="10" t="str">
        <f t="shared" si="31"/>
        <v>除外</v>
      </c>
      <c r="G988" s="13" t="s">
        <v>2327</v>
      </c>
      <c r="H988" s="14">
        <v>857105</v>
      </c>
    </row>
    <row r="989" spans="1:8" ht="30" customHeight="1">
      <c r="A989" s="7">
        <v>983</v>
      </c>
      <c r="B989" s="9" t="s">
        <v>658</v>
      </c>
      <c r="C989" s="9" t="s">
        <v>29</v>
      </c>
      <c r="D989" s="8">
        <v>38987</v>
      </c>
      <c r="E989" s="10" t="str">
        <f t="shared" si="30"/>
        <v>五段</v>
      </c>
      <c r="F989" s="10" t="str">
        <f t="shared" si="31"/>
        <v>除外</v>
      </c>
      <c r="G989" s="13" t="s">
        <v>2328</v>
      </c>
      <c r="H989" s="14">
        <v>856958</v>
      </c>
    </row>
    <row r="990" spans="1:8" ht="30" customHeight="1">
      <c r="A990" s="7">
        <v>984</v>
      </c>
      <c r="B990" s="9" t="s">
        <v>659</v>
      </c>
      <c r="C990" s="9" t="s">
        <v>29</v>
      </c>
      <c r="D990" s="8">
        <v>39057</v>
      </c>
      <c r="E990" s="10" t="str">
        <f t="shared" si="30"/>
        <v>五段</v>
      </c>
      <c r="F990" s="10" t="str">
        <f t="shared" si="31"/>
        <v>除外</v>
      </c>
      <c r="G990" s="13" t="s">
        <v>2329</v>
      </c>
      <c r="H990" s="14">
        <v>856935</v>
      </c>
    </row>
    <row r="991" spans="1:8" ht="30" customHeight="1">
      <c r="A991" s="7">
        <v>985</v>
      </c>
      <c r="B991" s="9" t="s">
        <v>660</v>
      </c>
      <c r="C991" s="9" t="s">
        <v>404</v>
      </c>
      <c r="D991" s="8">
        <v>36376</v>
      </c>
      <c r="E991" s="10" t="str">
        <f t="shared" si="30"/>
        <v>五段</v>
      </c>
      <c r="F991" s="10" t="str">
        <f t="shared" si="31"/>
        <v>除外</v>
      </c>
      <c r="G991" s="13" t="s">
        <v>2330</v>
      </c>
      <c r="H991" s="14">
        <v>856062</v>
      </c>
    </row>
    <row r="992" spans="1:8" ht="30" customHeight="1">
      <c r="A992" s="7">
        <v>986</v>
      </c>
      <c r="B992" s="9" t="s">
        <v>1103</v>
      </c>
      <c r="C992" s="9" t="s">
        <v>12</v>
      </c>
      <c r="D992" s="8">
        <v>42179</v>
      </c>
      <c r="E992" s="10" t="str">
        <f t="shared" si="30"/>
        <v>五段</v>
      </c>
      <c r="F992" s="10" t="str">
        <f t="shared" si="31"/>
        <v>採用候補</v>
      </c>
      <c r="G992" s="13" t="s">
        <v>2331</v>
      </c>
      <c r="H992" s="14">
        <v>855745</v>
      </c>
    </row>
    <row r="993" spans="1:8" ht="30" customHeight="1">
      <c r="A993" s="7">
        <v>987</v>
      </c>
      <c r="B993" s="9" t="s">
        <v>2332</v>
      </c>
      <c r="C993" s="9" t="s">
        <v>955</v>
      </c>
      <c r="D993" s="8">
        <v>40394</v>
      </c>
      <c r="E993" s="10" t="str">
        <f t="shared" si="30"/>
        <v>五段</v>
      </c>
      <c r="F993" s="10" t="str">
        <f t="shared" si="31"/>
        <v>採用候補</v>
      </c>
      <c r="G993" s="13" t="s">
        <v>2333</v>
      </c>
      <c r="H993" s="14">
        <v>853856</v>
      </c>
    </row>
    <row r="994" spans="1:8" ht="30" customHeight="1">
      <c r="A994" s="7">
        <v>988</v>
      </c>
      <c r="B994" s="9" t="s">
        <v>2334</v>
      </c>
      <c r="C994" s="9" t="s">
        <v>1025</v>
      </c>
      <c r="D994" s="8">
        <v>43565</v>
      </c>
      <c r="E994" s="10" t="str">
        <f t="shared" si="30"/>
        <v>五段</v>
      </c>
      <c r="F994" s="10" t="str">
        <f t="shared" si="31"/>
        <v>採用候補</v>
      </c>
      <c r="G994" s="13" t="s">
        <v>2335</v>
      </c>
      <c r="H994" s="14">
        <v>853779</v>
      </c>
    </row>
    <row r="995" spans="1:8" ht="42" customHeight="1">
      <c r="A995" s="7">
        <v>989</v>
      </c>
      <c r="B995" s="9" t="s">
        <v>2336</v>
      </c>
      <c r="C995" s="9" t="s">
        <v>787</v>
      </c>
      <c r="D995" s="8">
        <v>45432</v>
      </c>
      <c r="E995" s="10" t="str">
        <f t="shared" si="30"/>
        <v>五段</v>
      </c>
      <c r="F995" s="10" t="str">
        <f t="shared" si="31"/>
        <v>採用候補</v>
      </c>
      <c r="G995" s="13" t="s">
        <v>2337</v>
      </c>
      <c r="H995" s="14">
        <v>852066</v>
      </c>
    </row>
    <row r="996" spans="1:8" ht="30" customHeight="1">
      <c r="A996" s="7">
        <v>990</v>
      </c>
      <c r="B996" s="9" t="s">
        <v>2338</v>
      </c>
      <c r="C996" s="9" t="s">
        <v>155</v>
      </c>
      <c r="D996" s="8">
        <v>42564</v>
      </c>
      <c r="E996" s="10" t="str">
        <f t="shared" si="30"/>
        <v>五段</v>
      </c>
      <c r="F996" s="10" t="str">
        <f t="shared" si="31"/>
        <v>採用候補</v>
      </c>
      <c r="G996" s="13" t="s">
        <v>2339</v>
      </c>
      <c r="H996" s="14">
        <v>850386</v>
      </c>
    </row>
    <row r="997" spans="1:8" ht="30" customHeight="1">
      <c r="A997" s="7">
        <v>991</v>
      </c>
      <c r="B997" s="9" t="s">
        <v>2340</v>
      </c>
      <c r="C997" s="9" t="s">
        <v>12</v>
      </c>
      <c r="D997" s="8">
        <v>41332</v>
      </c>
      <c r="E997" s="10" t="str">
        <f t="shared" si="30"/>
        <v>五段</v>
      </c>
      <c r="F997" s="10" t="str">
        <f t="shared" si="31"/>
        <v>採用候補</v>
      </c>
      <c r="G997" s="13" t="s">
        <v>2341</v>
      </c>
      <c r="H997" s="14">
        <v>849992</v>
      </c>
    </row>
    <row r="998" spans="1:8" ht="30" customHeight="1">
      <c r="A998" s="7">
        <v>992</v>
      </c>
      <c r="B998" s="9" t="s">
        <v>661</v>
      </c>
      <c r="C998" s="9" t="s">
        <v>662</v>
      </c>
      <c r="D998" s="8">
        <v>28799</v>
      </c>
      <c r="E998" s="10" t="str">
        <f t="shared" si="30"/>
        <v>五段</v>
      </c>
      <c r="F998" s="10" t="str">
        <f t="shared" si="31"/>
        <v>除外</v>
      </c>
      <c r="G998" s="13" t="s">
        <v>2342</v>
      </c>
      <c r="H998" s="14">
        <v>848403</v>
      </c>
    </row>
    <row r="999" spans="1:8" ht="30" customHeight="1">
      <c r="A999" s="7">
        <v>993</v>
      </c>
      <c r="B999" s="9" t="s">
        <v>2343</v>
      </c>
      <c r="C999" s="9" t="s">
        <v>472</v>
      </c>
      <c r="D999" s="8">
        <v>41885</v>
      </c>
      <c r="E999" s="10" t="str">
        <f t="shared" si="30"/>
        <v>五段</v>
      </c>
      <c r="F999" s="10" t="str">
        <f t="shared" si="31"/>
        <v>採用候補</v>
      </c>
      <c r="G999" s="13" t="s">
        <v>2344</v>
      </c>
      <c r="H999" s="14">
        <v>847840</v>
      </c>
    </row>
    <row r="1000" spans="1:8" ht="30" customHeight="1">
      <c r="A1000" s="7">
        <v>994</v>
      </c>
      <c r="B1000" s="9" t="s">
        <v>2345</v>
      </c>
      <c r="C1000" s="9" t="s">
        <v>19</v>
      </c>
      <c r="D1000" s="8">
        <v>41017</v>
      </c>
      <c r="E1000" s="10" t="str">
        <f t="shared" si="30"/>
        <v>五段</v>
      </c>
      <c r="F1000" s="10" t="str">
        <f t="shared" si="31"/>
        <v>採用候補</v>
      </c>
      <c r="G1000" s="13" t="s">
        <v>2346</v>
      </c>
      <c r="H1000" s="14">
        <v>847510</v>
      </c>
    </row>
    <row r="1001" spans="1:8" ht="30" customHeight="1">
      <c r="A1001" s="7">
        <v>995</v>
      </c>
      <c r="B1001" s="9" t="s">
        <v>2347</v>
      </c>
      <c r="C1001" s="9" t="s">
        <v>758</v>
      </c>
      <c r="D1001" s="8">
        <v>41339</v>
      </c>
      <c r="E1001" s="10" t="str">
        <f t="shared" si="30"/>
        <v>五段</v>
      </c>
      <c r="F1001" s="10" t="str">
        <f t="shared" si="31"/>
        <v>採用候補</v>
      </c>
      <c r="G1001" s="13" t="s">
        <v>2348</v>
      </c>
      <c r="H1001" s="14">
        <v>847390</v>
      </c>
    </row>
    <row r="1002" spans="1:8" ht="30" customHeight="1">
      <c r="A1002" s="7">
        <v>996</v>
      </c>
      <c r="B1002" s="9" t="s">
        <v>663</v>
      </c>
      <c r="C1002" s="9" t="s">
        <v>664</v>
      </c>
      <c r="D1002" s="8">
        <v>38374</v>
      </c>
      <c r="E1002" s="10" t="str">
        <f t="shared" si="30"/>
        <v>五段</v>
      </c>
      <c r="F1002" s="10" t="str">
        <f t="shared" si="31"/>
        <v>除外</v>
      </c>
      <c r="G1002" s="13" t="s">
        <v>2349</v>
      </c>
      <c r="H1002" s="14">
        <v>847169</v>
      </c>
    </row>
    <row r="1003" spans="1:8" ht="30" customHeight="1">
      <c r="A1003" s="7">
        <v>997</v>
      </c>
      <c r="B1003" s="9" t="s">
        <v>665</v>
      </c>
      <c r="C1003" s="9" t="s">
        <v>443</v>
      </c>
      <c r="D1003" s="8">
        <v>35984</v>
      </c>
      <c r="E1003" s="10" t="str">
        <f t="shared" si="30"/>
        <v>五段</v>
      </c>
      <c r="F1003" s="10" t="str">
        <f t="shared" si="31"/>
        <v>除外</v>
      </c>
      <c r="G1003" s="13" t="s">
        <v>2350</v>
      </c>
      <c r="H1003" s="14">
        <v>847094</v>
      </c>
    </row>
    <row r="1004" spans="1:8" ht="30" customHeight="1">
      <c r="A1004" s="7">
        <v>998</v>
      </c>
      <c r="B1004" s="9" t="s">
        <v>666</v>
      </c>
      <c r="C1004" s="9" t="s">
        <v>667</v>
      </c>
      <c r="D1004" s="8">
        <v>37433</v>
      </c>
      <c r="E1004" s="10" t="str">
        <f t="shared" si="30"/>
        <v>五段</v>
      </c>
      <c r="F1004" s="10" t="str">
        <f t="shared" si="31"/>
        <v>除外</v>
      </c>
      <c r="G1004" s="13" t="s">
        <v>2351</v>
      </c>
      <c r="H1004" s="14">
        <v>847051</v>
      </c>
    </row>
    <row r="1005" spans="1:8" ht="30" customHeight="1">
      <c r="A1005" s="7">
        <v>999</v>
      </c>
      <c r="B1005" s="9" t="s">
        <v>668</v>
      </c>
      <c r="C1005" s="9" t="s">
        <v>247</v>
      </c>
      <c r="D1005" s="8">
        <v>38932</v>
      </c>
      <c r="E1005" s="10" t="str">
        <f t="shared" si="30"/>
        <v>五段</v>
      </c>
      <c r="F1005" s="10" t="str">
        <f t="shared" si="31"/>
        <v>除外</v>
      </c>
      <c r="G1005" s="13" t="s">
        <v>2352</v>
      </c>
      <c r="H1005" s="14">
        <v>846974</v>
      </c>
    </row>
    <row r="1006" spans="1:8" ht="30" customHeight="1">
      <c r="A1006" s="7">
        <v>1000</v>
      </c>
      <c r="B1006" s="9" t="s">
        <v>669</v>
      </c>
      <c r="C1006" s="9" t="s">
        <v>261</v>
      </c>
      <c r="D1006" s="8">
        <v>36474</v>
      </c>
      <c r="E1006" s="10" t="str">
        <f t="shared" si="30"/>
        <v>五段</v>
      </c>
      <c r="F1006" s="10" t="str">
        <f t="shared" si="31"/>
        <v>除外</v>
      </c>
      <c r="G1006" s="13" t="s">
        <v>2353</v>
      </c>
      <c r="H1006" s="14">
        <v>845137</v>
      </c>
    </row>
  </sheetData>
  <phoneticPr fontId="7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除外曲</vt:lpstr>
      <vt:lpstr>ランキング1000曲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Arita Kaito</cp:lastModifiedBy>
  <dcterms:modified xsi:type="dcterms:W3CDTF">2026-10-13T12:24:27Z</dcterms:modified>
</cp:coreProperties>
</file>